
<file path=[Content_Types].xml><?xml version="1.0" encoding="utf-8"?>
<ct:Types xmlns:ct="http://schemas.openxmlformats.org/package/2006/content-types">
  <ct:Default Extension="rels" ContentType="application/vnd.openxmlformats-package.relationships+xml"/>
  <ct:Default Extension="xml" ContentType="application/xml"/>
  <ct:Override PartName="/xl/workbook.xml" ContentType="application/vnd.openxmlformats-officedocument.spreadsheetml.sheet.main+xml"/>
  <ct:Override PartName="/xl/worksheets/sheet1.xml" ContentType="application/vnd.openxmlformats-officedocument.spreadsheetml.worksheet+xml"/>
  <ct:Override PartName="/xl/worksheets/sheet2.xml" ContentType="application/vnd.openxmlformats-officedocument.spreadsheetml.worksheet+xml"/>
  <ct:Override PartName="/xl/worksheets/sheet3.xml" ContentType="application/vnd.openxmlformats-officedocument.spreadsheetml.worksheet+xml"/>
  <ct:Override PartName="/xl/theme/theme1.xml" ContentType="application/vnd.openxmlformats-officedocument.theme+xml"/>
  <ct:Override PartName="/xl/styles.xml" ContentType="application/vnd.openxmlformats-officedocument.spreadsheetml.styles+xml"/>
  <ct:Override PartName="/xl/sharedStrings.xml" ContentType="application/vnd.openxmlformats-officedocument.spreadsheetml.sharedStrings+xml"/>
  <ct:Override PartName="/customXml/itemProps1.xml" ContentType="application/vnd.openxmlformats-officedocument.customXmlProperties+xml"/>
  <ct:Override PartName="/customXml/itemProps2.xml" ContentType="application/vnd.openxmlformats-officedocument.customXmlProperties+xml"/>
  <ct:Override PartName="/customXml/itemProps3.xml" ContentType="application/vnd.openxmlformats-officedocument.customXmlProperties+xml"/>
  <ct:Override PartName="/docProps/core.xml" ContentType="application/vnd.openxmlformats-package.core-properties+xml"/>
  <ct:Override PartName="/docProps/app.xml" ContentType="application/vnd.openxmlformats-officedocument.extended-properties+xml"/>
  <ct:Override PartName="/docProps/custom.xml" ContentType="application/vnd.openxmlformats-officedocument.custom-properties+xml"/>
</ct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15ac="http://schemas.microsoft.com/office/spreadsheetml/2010/11/ac" xmlns:xcalcf="http://schemas.microsoft.com/office/spreadsheetml/2018/calcfeature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822"/>
  <workbookPr/>
  <mc:AlternateContent>
    <mc:Choice Requires="x15">
      <x15ac:absPath url="\\wsl.localhost\Ubuntu\home\yshvadro\AI Roadmap 2026\"/>
    </mc:Choice>
  </mc:AlternateContent>
  <xr:revisionPtr revIDLastSave="0" documentId="13_ncr:1_{EAA8EE98-1FF8-4480-AEAF-78FF77609F57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Tools" sheetId="1" r:id="rId1"/>
    <sheet name="Defenitions" sheetId="2" r:id="rId2"/>
    <sheet name="FTE Calculations" sheetId="3" r:id="rId3"/>
  </sheets>
  <definedNames>
    <definedName name="_xlnm._FilterDatabase" localSheetId="0" hidden="1">Tools!$A$1:$Q$27</definedName>
  </definedNames>
  <calcPr calcId="191029" forceFullCalc="1"/>
  <extLst>
    <ext uri="{140A7094-0E35-4892-8432-C4D2E57EDEB5}">
      <x15:workbookPr chartTrackingRefBase="1"/>
    </ex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<sst xmlns="http://schemas.openxmlformats.org/spreadsheetml/2006/main" count="509" uniqueCount="293">
  <si>
    <t>Tool / Agent</t>
  </si>
  <si>
    <t>Priority</t>
  </si>
  <si>
    <t>Status</t>
  </si>
  <si>
    <t>Primary Goal</t>
  </si>
  <si>
    <t>Dependencies</t>
  </si>
  <si>
    <t>Data Source / Input</t>
  </si>
  <si>
    <t>Hosting / Platform</t>
  </si>
  <si>
    <t>Impact for CSMs</t>
  </si>
  <si>
    <t>High</t>
  </si>
  <si>
    <t>Ideation</t>
  </si>
  <si>
    <t>Create a tool that can share the relevant data from presales discussions with the CSM</t>
  </si>
  <si>
    <t>Couvama? Pre-Sales Notes?</t>
  </si>
  <si>
    <t>Success Plans context</t>
  </si>
  <si>
    <t>Implementation</t>
  </si>
  <si>
    <t>Implementation Handoff Agent</t>
  </si>
  <si>
    <t>Prepare a clean CSM-ready account brief with context gaps stakeholder map goals KPI alignment and handoff risks</t>
  </si>
  <si>
    <t>Implementation notes, stakeholder list, scope, goals, KPIs, open actions, training status</t>
  </si>
  <si>
    <t>Define one output pack and readiness score</t>
  </si>
  <si>
    <t>Medium</t>
  </si>
  <si>
    <t>Create maintain and review the success plan with milestones KPIs owners and drift detection</t>
  </si>
  <si>
    <t>Customer goals, milestones, stakeholders, scope, timelines, KPIs, meeting outcomes</t>
  </si>
  <si>
    <t>Design one shared success-plan workflow</t>
  </si>
  <si>
    <t>Meeting Prep and Follow-Up Agent</t>
  </si>
  <si>
    <t>Sustain Growth</t>
  </si>
  <si>
    <t>Escalation Management Agent</t>
  </si>
  <si>
    <t>Health and Risk Agent</t>
  </si>
  <si>
    <t>Type</t>
  </si>
  <si>
    <t>Development Efforts</t>
  </si>
  <si>
    <t>Maintenance Efforts</t>
  </si>
  <si>
    <t>Cost</t>
  </si>
  <si>
    <t>Custom GPT</t>
  </si>
  <si>
    <t>Low</t>
  </si>
  <si>
    <t>Static HTML Tool</t>
  </si>
  <si>
    <t>Very Low</t>
  </si>
  <si>
    <t>Tool with Server</t>
  </si>
  <si>
    <t>Agent</t>
  </si>
  <si>
    <t>Scoping</t>
  </si>
  <si>
    <t>Approved</t>
  </si>
  <si>
    <t>Development</t>
  </si>
  <si>
    <t>Published</t>
  </si>
  <si>
    <t>Status types</t>
  </si>
  <si>
    <t>Prototype</t>
  </si>
  <si>
    <t>Validation</t>
  </si>
  <si>
    <t>Check with GP if we have:</t>
  </si>
  <si>
    <t>Self-hosted LLM</t>
  </si>
  <si>
    <t>On-prem LLM</t>
  </si>
  <si>
    <t>Local inference system</t>
  </si>
  <si>
    <t>Capability</t>
  </si>
  <si>
    <t>AI Tool</t>
  </si>
  <si>
    <t>AI Agent</t>
  </si>
  <si>
    <t>Needs step-by-step prompts</t>
  </si>
  <si>
    <t>Yes</t>
  </si>
  <si>
    <t>No</t>
  </si>
  <si>
    <t>Executes multi-step workflows</t>
  </si>
  <si>
    <t>Makes decisions</t>
  </si>
  <si>
    <t>Uses other tools</t>
  </si>
  <si>
    <t>Runs autonomously</t>
  </si>
  <si>
    <t>Yes (to a degree)</t>
  </si>
  <si>
    <r>
      <t>An AI tool</t>
    </r>
    <r>
      <rPr>
        <sz val="11"/>
        <color theme="1"/>
        <rFont val="Calibri"/>
        <family val="2"/>
        <scheme val="minor"/>
      </rPr>
      <t xml:space="preserve"> is something you </t>
    </r>
    <r>
      <rPr>
        <i/>
        <sz val="11"/>
        <color theme="1"/>
        <rFont val="Calibri"/>
        <family val="2"/>
        <scheme val="minor"/>
      </rPr>
      <t>use directly</t>
    </r>
    <r>
      <rPr>
        <sz val="11"/>
        <color theme="1"/>
        <rFont val="Calibri"/>
        <family val="2"/>
        <scheme val="minor"/>
      </rPr>
      <t xml:space="preserve"> to do a task.</t>
    </r>
  </si>
  <si>
    <r>
      <t>An AI agent</t>
    </r>
    <r>
      <rPr>
        <sz val="11"/>
        <color theme="1"/>
        <rFont val="Calibri"/>
        <family val="2"/>
        <scheme val="minor"/>
      </rPr>
      <t xml:space="preserve"> is something that can </t>
    </r>
    <r>
      <rPr>
        <i/>
        <sz val="11"/>
        <color theme="1"/>
        <rFont val="Calibri"/>
        <family val="2"/>
        <scheme val="minor"/>
      </rPr>
      <t>act on your behalf</t>
    </r>
    <r>
      <rPr>
        <sz val="11"/>
        <color theme="1"/>
        <rFont val="Calibri"/>
        <family val="2"/>
        <scheme val="minor"/>
      </rPr>
      <t xml:space="preserve"> to achieve a goal.</t>
    </r>
  </si>
  <si>
    <t>Effort level</t>
  </si>
  <si>
    <t>Salesforce</t>
  </si>
  <si>
    <t>Adoption</t>
  </si>
  <si>
    <t>Team Ownership</t>
  </si>
  <si>
    <t>Pre Sales</t>
  </si>
  <si>
    <t>PS</t>
  </si>
  <si>
    <t>CSM</t>
  </si>
  <si>
    <t>AM</t>
  </si>
  <si>
    <t>Whitespace Analysis</t>
  </si>
  <si>
    <t>Executive relationship building</t>
  </si>
  <si>
    <t>Single Threaded Detection</t>
  </si>
  <si>
    <t>Tool Type</t>
  </si>
  <si>
    <t>CSM Intro Prep</t>
  </si>
  <si>
    <t>GCC</t>
  </si>
  <si>
    <t xml:space="preserve">Support Trends </t>
  </si>
  <si>
    <t>Value Added</t>
  </si>
  <si>
    <t>Time Savings per CSM per Month</t>
  </si>
  <si>
    <t>Team Time Saved Per Year</t>
  </si>
  <si>
    <t>Value Added (Estimated)</t>
  </si>
  <si>
    <t>Release Assistant</t>
  </si>
  <si>
    <t>Renewal Report Agent</t>
  </si>
  <si>
    <t>Matik</t>
  </si>
  <si>
    <t>15–25 hours</t>
  </si>
  <si>
    <t>1,800–3,000 hours</t>
  </si>
  <si>
    <t>8–15 hours</t>
  </si>
  <si>
    <t>960–1,800 hours</t>
  </si>
  <si>
    <t>2–8 hours</t>
  </si>
  <si>
    <t>240–960 hours</t>
  </si>
  <si>
    <t>Orchestrating Layer</t>
  </si>
  <si>
    <t>One place all the data from these tools is stored and is searchable</t>
  </si>
  <si>
    <t>ALL</t>
  </si>
  <si>
    <t>Ops</t>
  </si>
  <si>
    <t>Elevator</t>
  </si>
  <si>
    <t>Draft the first CSM intro brief agenda and account snapshot</t>
  </si>
  <si>
    <t>Handoff pack, contacts, goals, open actions</t>
  </si>
  <si>
    <t>Faster first calls with less prep</t>
  </si>
  <si>
    <t>Faster proof of value</t>
  </si>
  <si>
    <t>Draft agenda notes and action recap for customer touchpoints</t>
  </si>
  <si>
    <t>CRM notes, emails, success plan, support updates</t>
  </si>
  <si>
    <t>Saves prep time and improves follow-through</t>
  </si>
  <si>
    <t>Search release content and map updates to customer impact</t>
  </si>
  <si>
    <t>Release notes, KB articles, enablement docs</t>
  </si>
  <si>
    <t>Faster release prep</t>
  </si>
  <si>
    <t>Turn release notes into customer-ready talking points</t>
  </si>
  <si>
    <t>Release Search Library</t>
  </si>
  <si>
    <t>Release notes, customer modules, open asks</t>
  </si>
  <si>
    <t>GPT</t>
  </si>
  <si>
    <t>Clearer release conversations</t>
  </si>
  <si>
    <t>Draft review decks with KPI movement risks and actions</t>
  </si>
  <si>
    <t>KPI trends, adoption data, support trends, goals</t>
  </si>
  <si>
    <t>Faster review creation</t>
  </si>
  <si>
    <t>Turn results and quotes into short success stories</t>
  </si>
  <si>
    <t>Meeting notes, KPI gains, quotes, reference data</t>
  </si>
  <si>
    <t>Reusable proof points for AM and marketing</t>
  </si>
  <si>
    <t>Identify cross-sell whitespace from product fit and usage</t>
  </si>
  <si>
    <t>Product footprint, usage, org structure, goals</t>
  </si>
  <si>
    <t>Surfaces expansion paths earlier</t>
  </si>
  <si>
    <t>Brief AMs on executive stakeholders gaps and outreach chances</t>
  </si>
  <si>
    <t>Stakeholder map, meeting history, sponsor notes</t>
  </si>
  <si>
    <t>Stronger sponsor coverage</t>
  </si>
  <si>
    <t>Flag accounts that rely on too few customer contacts</t>
  </si>
  <si>
    <t>CRM contacts, meeting attendance, email activity</t>
  </si>
  <si>
    <t>Reduces relationship risk</t>
  </si>
  <si>
    <t>Draft a renewal-ready summary with value risks and expansion</t>
  </si>
  <si>
    <t>Contract data, KPI gains, support trends, stakeholder status</t>
  </si>
  <si>
    <t>Shortens renewal prep</t>
  </si>
  <si>
    <t>Score health using adoption support engagement and escalation signals</t>
  </si>
  <si>
    <t>Product usage, tickets, meeting cadence, stakeholder sentiment</t>
  </si>
  <si>
    <t>Earlier risk detection</t>
  </si>
  <si>
    <t>Summarize support patterns root issues and friction signals</t>
  </si>
  <si>
    <t>Case volume, severity, product area, time to resolution</t>
  </si>
  <si>
    <t>Better issue context before meetings</t>
  </si>
  <si>
    <t>Coordinate escalations with owners updates risks and next steps</t>
  </si>
  <si>
    <t>Faster escalation follow-up</t>
  </si>
  <si>
    <t>CRM, support, notes, product usage, contracts</t>
  </si>
  <si>
    <t>Journey Phase</t>
  </si>
  <si>
    <t>Implementation Summary</t>
  </si>
  <si>
    <t>KPI Analyzer</t>
  </si>
  <si>
    <t>Review usage and recommend next steps</t>
  </si>
  <si>
    <t>Snowflake</t>
  </si>
  <si>
    <t>Operational Performance Reviews</t>
  </si>
  <si>
    <t>Success Stories</t>
  </si>
  <si>
    <t>SF or Snowflake</t>
  </si>
  <si>
    <t>Goal Date</t>
  </si>
  <si>
    <t>Estimated Hours</t>
  </si>
  <si>
    <t>presales,notes,sfdc</t>
  </si>
  <si>
    <t>May 29, 2026</t>
  </si>
  <si>
    <t>45</t>
  </si>
  <si>
    <t>api,presales,scope</t>
  </si>
  <si>
    <t>HTML tool, GPT</t>
  </si>
  <si>
    <t>June 12, 2026</t>
  </si>
  <si>
    <t>80</t>
  </si>
  <si>
    <t>handoff,stakeholders,goals</t>
  </si>
  <si>
    <t>GPT, CRM notes</t>
  </si>
  <si>
    <t>June 19, 2026</t>
  </si>
  <si>
    <t>24</t>
  </si>
  <si>
    <t>templates,cadence,crm</t>
  </si>
  <si>
    <t>CRM, templates, GPT</t>
  </si>
  <si>
    <t>June 30, 2026</t>
  </si>
  <si>
    <t>72</t>
  </si>
  <si>
    <t>playbook,prompt,snowflake</t>
  </si>
  <si>
    <t>BI layer, GPT</t>
  </si>
  <si>
    <t>July 10, 2026</t>
  </si>
  <si>
    <t>40</t>
  </si>
  <si>
    <t>notes,stakeholders,actions</t>
  </si>
  <si>
    <t>GPT, CRM</t>
  </si>
  <si>
    <t>July 17, 2026</t>
  </si>
  <si>
    <t>70</t>
  </si>
  <si>
    <t>releases,library,index</t>
  </si>
  <si>
    <t>Search index, web app</t>
  </si>
  <si>
    <t>June 26, 2026</t>
  </si>
  <si>
    <t>56</t>
  </si>
  <si>
    <t>library,releases,modules</t>
  </si>
  <si>
    <t>July 24, 2026</t>
  </si>
  <si>
    <t>kpis,dashboard,matik</t>
  </si>
  <si>
    <t>Matik, GPT</t>
  </si>
  <si>
    <t>August 7, 2026</t>
  </si>
  <si>
    <t>30</t>
  </si>
  <si>
    <t>approval,quotes,outcomes</t>
  </si>
  <si>
    <t>GPT, templates</t>
  </si>
  <si>
    <t>August 14, 2026</t>
  </si>
  <si>
    <t>product,usage,crm</t>
  </si>
  <si>
    <t>CRM, product data</t>
  </si>
  <si>
    <t>August 21, 2026</t>
  </si>
  <si>
    <t>64</t>
  </si>
  <si>
    <t>orgmap,history,crm</t>
  </si>
  <si>
    <t>CRM, GPT</t>
  </si>
  <si>
    <t>August 28, 2026</t>
  </si>
  <si>
    <t>20</t>
  </si>
  <si>
    <t>contacts,engagement,crm</t>
  </si>
  <si>
    <t>CRM, rules engine</t>
  </si>
  <si>
    <t>September 1, 2026</t>
  </si>
  <si>
    <t>48</t>
  </si>
  <si>
    <t>health,value,contracts</t>
  </si>
  <si>
    <t>September 5, 2026</t>
  </si>
  <si>
    <t>60</t>
  </si>
  <si>
    <t>usage,support,meetings</t>
  </si>
  <si>
    <t>90</t>
  </si>
  <si>
    <t>support,cases,gcc</t>
  </si>
  <si>
    <t>Support system, GPT</t>
  </si>
  <si>
    <t>July 31, 2026</t>
  </si>
  <si>
    <t>44</t>
  </si>
  <si>
    <t>kpi,sfdc,snowflake</t>
  </si>
  <si>
    <t>GPT, workflow tool</t>
  </si>
  <si>
    <t>September 12, 2026</t>
  </si>
  <si>
    <t>68</t>
  </si>
  <si>
    <t>crm,support,warehouse</t>
  </si>
  <si>
    <t>Search layer, warehouse</t>
  </si>
  <si>
    <t>September 15, 2026</t>
  </si>
  <si>
    <t>120</t>
  </si>
  <si>
    <t>Prospect - Presales</t>
  </si>
  <si>
    <t>Success Plan Creation and Maintenance</t>
  </si>
  <si>
    <t>Manager's assistant</t>
  </si>
  <si>
    <t>Internal JAGGAER</t>
  </si>
  <si>
    <t>Managers 1:1</t>
  </si>
  <si>
    <t>Assist managers in the 1:1s, recommend actions on CSM, mentoring areas, performance flags</t>
  </si>
  <si>
    <t>Manager's overview</t>
  </si>
  <si>
    <t>Managers promotion</t>
  </si>
  <si>
    <t>Assist managers with promotions, merits and staff planning</t>
  </si>
  <si>
    <t>Manager Capacity and Portfolios</t>
  </si>
  <si>
    <t>Managers account assignments</t>
  </si>
  <si>
    <t>Assist managers to assign accounts and portfolio capacity</t>
  </si>
  <si>
    <t>Manager ICP</t>
  </si>
  <si>
    <t>Managers ICP</t>
  </si>
  <si>
    <t>Assist managers with ICP calculations</t>
  </si>
  <si>
    <t>Est. Hrs Saved / CSM / Month</t>
  </si>
  <si>
    <t>Total Build Hrs</t>
  </si>
  <si>
    <t>Ideation Hrs</t>
  </si>
  <si>
    <t>Writing Specifications Hrs</t>
  </si>
  <si>
    <t>Development Hrs</t>
  </si>
  <si>
    <t>Testing &amp; Rollout Hrs</t>
  </si>
  <si>
    <t>Maintenance Hrs / Month</t>
  </si>
  <si>
    <t>First-Year Maintenance Hrs</t>
  </si>
  <si>
    <t>Build FTE / Year</t>
  </si>
  <si>
    <t>Maintenance FTE / Year</t>
  </si>
  <si>
    <t>Hrs Saved / CSM / Month</t>
  </si>
  <si>
    <t>FTE Assumption</t>
  </si>
  <si>
    <t>160 hrs per FTE month</t>
  </si>
  <si>
    <t>Support Trends</t>
  </si>
  <si>
    <t>22 tools</t>
  </si>
  <si>
    <t>FTE Savings/ year</t>
  </si>
  <si>
    <t>Link to folder</t>
  </si>
  <si>
    <t>Digital Motion 1 - Adoption</t>
  </si>
  <si>
    <t>Digital Motion 2 - Renewal</t>
  </si>
  <si>
    <t>Renewal</t>
  </si>
  <si>
    <t>Agent that will proactively reach out to customers to work with them on increasing adoption and recommend action items</t>
  </si>
  <si>
    <t>Agent that will reach out to AMs and CSMs with renewal recommendations</t>
  </si>
  <si>
    <t>Shared searchable orchestration layer</t>
  </si>
  <si>
    <t>manager 1:1 template, crm notes, performance signals</t>
  </si>
  <si>
    <t>CSM portfolio, 1:1 notes, activity metrics, customer health, open risks</t>
  </si>
  <si>
    <t>GPT, manager workspace</t>
  </si>
  <si>
    <t>More consistent coaching and faster manager follow-up</t>
  </si>
  <si>
    <t>TBD</t>
  </si>
  <si>
    <t>promotion criteria, merit inputs, staffing plan, performance signals</t>
  </si>
  <si>
    <t>Performance reviews, manager notes, portfolio metrics, capacity plans</t>
  </si>
  <si>
    <t>GPT, HR/planning workspace</t>
  </si>
  <si>
    <t>Consistent evidence for promotion, merit, and staffing decisions</t>
  </si>
  <si>
    <t>crm portfolio data, account segmentation, capacity model</t>
  </si>
  <si>
    <t>Account ARR, segment, complexity, CSM assignments, health, renewal timing</t>
  </si>
  <si>
    <t>CRM, capacity model, GPT</t>
  </si>
  <si>
    <t>Better-balanced portfolios and clearer account assignment decisions</t>
  </si>
  <si>
    <t>icp model, account data, segmentation rules</t>
  </si>
  <si>
    <t>ICP criteria, account attributes, segment, fit, and planning assumptions</t>
  </si>
  <si>
    <t>GPT, segmentation model</t>
  </si>
  <si>
    <t>Faster ICP calculations and planning inputs</t>
  </si>
  <si>
    <t>Proactively reach out to customers to increase adoption and recommend action items</t>
  </si>
  <si>
    <t>usage, contacts, success plan, engagement signals</t>
  </si>
  <si>
    <t>Product usage, adoption gaps, customer contacts, success-plan milestones, meeting history</t>
  </si>
  <si>
    <t>CRM, digital engagement platform, GPT workflow</t>
  </si>
  <si>
    <t>Scales adoption nudges and turns usage signals into recommended customer actions</t>
  </si>
  <si>
    <t>Reach out to AMs and CSMs with renewal recommendations</t>
  </si>
  <si>
    <t>renewal date, health, usage, value, risks, stakeholder coverage</t>
  </si>
  <si>
    <t>Contract timeline, health score, adoption trends, value proof points, open risks, stakeholder activity</t>
  </si>
  <si>
    <t>CRM, renewal workflow, GPT</t>
  </si>
  <si>
    <t>Creates earlier renewal readiness prompts and keeps CSMs and AMs aligned</t>
  </si>
  <si>
    <t>24 tools</t>
  </si>
  <si>
    <t>Supplier Enablement Opportunity Tool</t>
  </si>
  <si>
    <t>CSM / Core JI</t>
  </si>
  <si>
    <t>Identify supplier enablement opportunities for Core JI customers by combining activity exports, current enablement state, and supplier reference data.</t>
  </si>
  <si>
    <t>Cross Org Supplier Enablement reports, supplier reference list, current enablement export</t>
  </si>
  <si>
    <t>PO spend, invoice spend, requisition activity, current supplier enablement export, optional supplier reference list</t>
  </si>
  <si>
    <t>Static HTML, browser uploads, SheetJS</t>
  </si>
  <si>
    <t>Ranks recommended supplier enablements, impacted document volume, and savings opportunity for adoption conversations</t>
  </si>
  <si>
    <t>15-25 hrs</t>
  </si>
  <si>
    <t>Supplier Enablement Opportunity Tool.html</t>
  </si>
  <si>
    <t>Onboarding GPT</t>
  </si>
  <si>
    <t>CSM Enablement</t>
  </si>
  <si>
    <t>Onboard JAGGAER CSMs into real job readiness through structured coaching, diagnosis practice, cross-module thinking, and safe customer communication.</t>
  </si>
  <si>
    <t>JAGGAER product handbooks, onboarding curriculum, CSM playbooks, internal role context</t>
  </si>
  <si>
    <t>Supplier Management, Contracts+, Invoicing, eProcurement handbooks; Level 1-3 onboarding flows; CSM operating context; learner role, customer exposure, background strengths</t>
  </si>
  <si>
    <t>Custom GPT, onboarding knowledge base</t>
  </si>
  <si>
    <t>Accelerates CSM readiness while improving diagnosis quality, risk awareness, and defensible customer communication</t>
  </si>
  <si>
    <t>26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</si>
</sst>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indent="1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0" fillId="3" borderId="0" xfId="0" applyFill="1"/>
    <xf numFmtId="0" fontId="3" fillId="2" borderId="2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2" borderId="3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5" fillId="0" borderId="0" xfId="1"/>
    <xf numFmtId="0" fontId="0" fillId="0" borderId="1" xfId="0" applyFill="1" applyBorder="1"/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:Relationships xmlns:rel="http://schemas.openxmlformats.org/package/2006/relationships"><rel:Relationship Id="rId8" Type="http://schemas.openxmlformats.org/officeDocument/2006/relationships/customXml" Target="../customXml/item1.xml" /><rel:Relationship Id="rId3" Type="http://schemas.openxmlformats.org/officeDocument/2006/relationships/worksheet" Target="worksheets/sheet3.xml" /><rel:Relationship Id="rId2" Type="http://schemas.openxmlformats.org/officeDocument/2006/relationships/worksheet" Target="worksheets/sheet2.xml" /><rel:Relationship Id="rId1" Type="http://schemas.openxmlformats.org/officeDocument/2006/relationships/worksheet" Target="worksheets/sheet1.xml" /><rel:Relationship Id="rId6" Type="http://schemas.openxmlformats.org/officeDocument/2006/relationships/sharedStrings" Target="sharedStrings.xml" /><rel:Relationship Id="rId5" Type="http://schemas.openxmlformats.org/officeDocument/2006/relationships/styles" Target="styles.xml" /><rel:Relationship Id="rId10" Type="http://schemas.openxmlformats.org/officeDocument/2006/relationships/customXml" Target="../customXml/item3.xml" /><rel:Relationship Id="rId4" Type="http://schemas.openxmlformats.org/officeDocument/2006/relationships/theme" Target="theme/theme1.xml" /><rel:Relationship Id="rId9" Type="http://schemas.openxmlformats.org/officeDocument/2006/relationships/customXml" Target="../customXml/item2.xml" /></rel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?>
<rel:Relationships xmlns:rel="http://schemas.openxmlformats.org/package/2006/relationships"><rel:Relationship Id="rId2" Type="http://schemas.openxmlformats.org/officeDocument/2006/relationships/hyperlink" Target="https://jaggaer.sharepoint.com/:f:/t/CustomerSuccess-Leadership/IgBM_V801zNWQ5xyHl0hy0V8Ab5M6IS6Qi858aFuDKw5ofs?e=eJJ8Ou" TargetMode="External" /><rel:Relationship Id="rId1" Type="http://schemas.openxmlformats.org/officeDocument/2006/relationships/hyperlink" Target="https://jaggaer.sharepoint.com/:f:/t/CustomerSuccess-Leadership/IgCmUHclbT11QYaQgxiHa8c0ASaOXWSP3kC75Weu40afgt8?e=xshvX8" TargetMode="External" /><rel:Relationship Id="rId3" Type="http://schemas.openxmlformats.org/officeDocument/2006/relationships/hyperlink" Target="../Supplier Enablement Opportunity Tool.html" TargetMode="External" /></rel: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000-000000000000}">
  <dimension ref="A1:Q27"/>
  <sheetViews>
    <sheetView tabSelected="1" topLeftCell="I1" workbookViewId="0">
      <selection activeCell="I26" sqref="I26"/>
    </sheetView>
  </sheetViews>
  <sheetFormatPr defaultRowHeight="14.4" x14ac:dyDescent="0.3"/>
  <cols>
    <col min="1" max="1" width="37" customWidth="1"/>
    <col min="2" max="2" width="20.109375" customWidth="1"/>
    <col min="3" max="3" width="12.5546875" customWidth="1"/>
    <col min="4" max="4" width="32.109375" customWidth="1"/>
    <col min="5" max="5" width="13.44140625" customWidth="1"/>
    <col min="6" max="6" width="16.21875" customWidth="1"/>
    <col min="7" max="7" width="14.33203125" customWidth="1"/>
    <col min="8" max="8" width="13" customWidth="1"/>
    <col min="9" max="9" width="78.88671875" customWidth="1"/>
    <col min="10" max="10" width="37.77734375" customWidth="1"/>
    <col min="11" max="11" width="48.6640625" customWidth="1"/>
    <col min="12" max="12" width="35.109375" customWidth="1"/>
    <col min="13" max="13" width="47.21875" customWidth="1"/>
    <col min="14" max="14" width="16.6640625" customWidth="1"/>
    <col min="15" max="15" width="16.5546875" bestFit="1" customWidth="1"/>
    <col min="16" max="16" width="27" customWidth="1"/>
  </cols>
  <sheetData>
    <row r="1" spans="1:17" s="7" customFormat="1" ht="27.6" x14ac:dyDescent="0.3">
      <c r="A1" s="6" t="s">
        <v>0</v>
      </c>
      <c r="B1" s="6" t="s">
        <v>135</v>
      </c>
      <c r="C1" s="11" t="s">
        <v>63</v>
      </c>
      <c r="D1" s="6" t="s">
        <v>71</v>
      </c>
      <c r="E1" s="6" t="s">
        <v>60</v>
      </c>
      <c r="F1" s="6" t="s">
        <v>75</v>
      </c>
      <c r="G1" s="6" t="s">
        <v>1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143</v>
      </c>
      <c r="O1" s="6" t="s">
        <v>144</v>
      </c>
      <c r="P1" s="6" t="s">
        <v>225</v>
      </c>
      <c r="Q1" s="7" t="s">
        <v>241</v>
      </c>
    </row>
    <row r="2" spans="1:17" x14ac:dyDescent="0.3">
      <c r="A2" s="4" t="s">
        <v>136</v>
      </c>
      <c r="B2" s="4" t="s">
        <v>210</v>
      </c>
      <c r="C2" s="4" t="s">
        <v>64</v>
      </c>
      <c r="D2" s="4" t="s">
        <v>34</v>
      </c>
      <c r="E2" s="4" t="s">
        <v>31</v>
      </c>
      <c r="F2" s="4" t="s">
        <v>8</v>
      </c>
      <c r="G2" s="4" t="s">
        <v>8</v>
      </c>
      <c r="H2" s="4" t="s">
        <v>9</v>
      </c>
      <c r="I2" s="4" t="s">
        <v>10</v>
      </c>
      <c r="J2" s="4" t="s">
        <v>145</v>
      </c>
      <c r="K2" s="4" t="s">
        <v>11</v>
      </c>
      <c r="L2" s="4" t="s">
        <v>61</v>
      </c>
      <c r="M2" s="4" t="s">
        <v>12</v>
      </c>
      <c r="N2" s="4" t="s">
        <v>146</v>
      </c>
      <c r="O2" s="4" t="s">
        <v>147</v>
      </c>
      <c r="P2" s="4" t="str">
        <f t="shared" ref="P2:P25" si="0">IF(F2="High","15-25 hrs",IF(F2="Medium","8-15 hrs",IF(F2="Low","2-8 hrs","")))</f>
        <v>15-25 hrs</v>
      </c>
      <c r="Q2" s="20">
        <v>1</v>
      </c>
    </row>
    <row r="3" spans="1:17" x14ac:dyDescent="0.3">
      <c r="A3" s="4" t="s">
        <v>14</v>
      </c>
      <c r="B3" s="4" t="s">
        <v>13</v>
      </c>
      <c r="C3" s="4" t="s">
        <v>65</v>
      </c>
      <c r="D3" s="4" t="s">
        <v>35</v>
      </c>
      <c r="E3" s="4" t="s">
        <v>31</v>
      </c>
      <c r="F3" s="4" t="s">
        <v>8</v>
      </c>
      <c r="G3" s="4" t="s">
        <v>8</v>
      </c>
      <c r="H3" s="4" t="s">
        <v>41</v>
      </c>
      <c r="I3" s="4" t="s">
        <v>15</v>
      </c>
      <c r="J3" s="4" t="s">
        <v>148</v>
      </c>
      <c r="K3" s="4" t="s">
        <v>16</v>
      </c>
      <c r="L3" s="4" t="s">
        <v>149</v>
      </c>
      <c r="M3" s="4" t="s">
        <v>17</v>
      </c>
      <c r="N3" s="4" t="s">
        <v>150</v>
      </c>
      <c r="O3" s="4" t="s">
        <v>151</v>
      </c>
      <c r="P3" s="4" t="str">
        <f t="shared" si="0"/>
        <v>15-25 hrs</v>
      </c>
      <c r="Q3" s="20">
        <v>1.1000000000000001</v>
      </c>
    </row>
    <row r="4" spans="1:17" x14ac:dyDescent="0.3">
      <c r="A4" s="4" t="s">
        <v>72</v>
      </c>
      <c r="B4" s="4" t="s">
        <v>62</v>
      </c>
      <c r="C4" s="4" t="s">
        <v>66</v>
      </c>
      <c r="D4" s="4" t="s">
        <v>30</v>
      </c>
      <c r="E4" s="4" t="s">
        <v>31</v>
      </c>
      <c r="F4" s="4" t="s">
        <v>18</v>
      </c>
      <c r="G4" s="4" t="s">
        <v>8</v>
      </c>
      <c r="H4" s="4" t="s">
        <v>9</v>
      </c>
      <c r="I4" s="4" t="s">
        <v>93</v>
      </c>
      <c r="J4" s="4" t="s">
        <v>152</v>
      </c>
      <c r="K4" s="4" t="s">
        <v>94</v>
      </c>
      <c r="L4" s="4" t="s">
        <v>153</v>
      </c>
      <c r="M4" s="4" t="s">
        <v>95</v>
      </c>
      <c r="N4" s="4" t="s">
        <v>154</v>
      </c>
      <c r="O4" s="4" t="s">
        <v>155</v>
      </c>
      <c r="P4" s="4" t="str">
        <f t="shared" si="0"/>
        <v>8-15 hrs</v>
      </c>
    </row>
    <row r="5" spans="1:17" x14ac:dyDescent="0.3">
      <c r="A5" s="4" t="s">
        <v>211</v>
      </c>
      <c r="B5" s="4" t="s">
        <v>62</v>
      </c>
      <c r="C5" s="4" t="s">
        <v>66</v>
      </c>
      <c r="D5" s="4" t="s">
        <v>34</v>
      </c>
      <c r="E5" s="4" t="s">
        <v>18</v>
      </c>
      <c r="F5" s="4" t="s">
        <v>8</v>
      </c>
      <c r="G5" s="4" t="s">
        <v>8</v>
      </c>
      <c r="H5" s="4" t="s">
        <v>41</v>
      </c>
      <c r="I5" s="4" t="s">
        <v>19</v>
      </c>
      <c r="J5" s="4" t="s">
        <v>156</v>
      </c>
      <c r="K5" s="4" t="s">
        <v>20</v>
      </c>
      <c r="L5" s="4" t="s">
        <v>157</v>
      </c>
      <c r="M5" s="4" t="s">
        <v>21</v>
      </c>
      <c r="N5" s="4" t="s">
        <v>158</v>
      </c>
      <c r="O5" s="4" t="s">
        <v>159</v>
      </c>
      <c r="P5" s="4" t="str">
        <f t="shared" si="0"/>
        <v>15-25 hrs</v>
      </c>
    </row>
    <row r="6" spans="1:17" x14ac:dyDescent="0.3">
      <c r="A6" s="4" t="s">
        <v>137</v>
      </c>
      <c r="B6" s="4" t="s">
        <v>62</v>
      </c>
      <c r="C6" s="4" t="s">
        <v>66</v>
      </c>
      <c r="D6" s="4" t="s">
        <v>30</v>
      </c>
      <c r="E6" s="4" t="s">
        <v>18</v>
      </c>
      <c r="F6" s="4" t="s">
        <v>8</v>
      </c>
      <c r="G6" s="4" t="s">
        <v>8</v>
      </c>
      <c r="H6" s="4" t="s">
        <v>41</v>
      </c>
      <c r="I6" s="4" t="s">
        <v>138</v>
      </c>
      <c r="J6" s="4" t="s">
        <v>160</v>
      </c>
      <c r="K6" s="4" t="s">
        <v>139</v>
      </c>
      <c r="L6" s="4" t="s">
        <v>161</v>
      </c>
      <c r="M6" s="4" t="s">
        <v>96</v>
      </c>
      <c r="N6" s="4" t="s">
        <v>162</v>
      </c>
      <c r="O6" s="4" t="s">
        <v>163</v>
      </c>
      <c r="P6" s="4" t="str">
        <f t="shared" si="0"/>
        <v>15-25 hrs</v>
      </c>
    </row>
    <row r="7" spans="1:17" x14ac:dyDescent="0.3">
      <c r="A7" s="4" t="s">
        <v>22</v>
      </c>
      <c r="B7" s="4" t="s">
        <v>62</v>
      </c>
      <c r="C7" s="4" t="s">
        <v>66</v>
      </c>
      <c r="D7" s="4" t="s">
        <v>35</v>
      </c>
      <c r="E7" s="4" t="s">
        <v>18</v>
      </c>
      <c r="F7" s="4" t="s">
        <v>8</v>
      </c>
      <c r="G7" s="4" t="s">
        <v>8</v>
      </c>
      <c r="H7" s="4" t="s">
        <v>9</v>
      </c>
      <c r="I7" s="4" t="s">
        <v>97</v>
      </c>
      <c r="J7" s="4" t="s">
        <v>164</v>
      </c>
      <c r="K7" s="4" t="s">
        <v>98</v>
      </c>
      <c r="L7" s="4" t="s">
        <v>165</v>
      </c>
      <c r="M7" s="4" t="s">
        <v>99</v>
      </c>
      <c r="N7" s="4" t="s">
        <v>166</v>
      </c>
      <c r="O7" s="4" t="s">
        <v>167</v>
      </c>
      <c r="P7" s="4" t="str">
        <f t="shared" si="0"/>
        <v>15-25 hrs</v>
      </c>
    </row>
    <row r="8" spans="1:17" x14ac:dyDescent="0.3">
      <c r="A8" s="4" t="s">
        <v>104</v>
      </c>
      <c r="B8" s="4" t="s">
        <v>62</v>
      </c>
      <c r="C8" s="4" t="s">
        <v>66</v>
      </c>
      <c r="D8" s="4" t="s">
        <v>34</v>
      </c>
      <c r="E8" s="4" t="s">
        <v>31</v>
      </c>
      <c r="F8" s="4" t="s">
        <v>8</v>
      </c>
      <c r="G8" s="4" t="s">
        <v>18</v>
      </c>
      <c r="H8" s="4" t="s">
        <v>41</v>
      </c>
      <c r="I8" s="4" t="s">
        <v>100</v>
      </c>
      <c r="J8" s="4" t="s">
        <v>168</v>
      </c>
      <c r="K8" s="4" t="s">
        <v>101</v>
      </c>
      <c r="L8" s="4" t="s">
        <v>169</v>
      </c>
      <c r="M8" s="4" t="s">
        <v>102</v>
      </c>
      <c r="N8" s="4" t="s">
        <v>170</v>
      </c>
      <c r="O8" s="4" t="s">
        <v>171</v>
      </c>
      <c r="P8" s="4" t="str">
        <f t="shared" si="0"/>
        <v>15-25 hrs</v>
      </c>
    </row>
    <row r="9" spans="1:17" x14ac:dyDescent="0.3">
      <c r="A9" s="4" t="s">
        <v>79</v>
      </c>
      <c r="B9" s="4" t="s">
        <v>62</v>
      </c>
      <c r="C9" s="4" t="s">
        <v>66</v>
      </c>
      <c r="D9" s="4" t="s">
        <v>30</v>
      </c>
      <c r="E9" s="4" t="s">
        <v>31</v>
      </c>
      <c r="F9" s="4" t="s">
        <v>18</v>
      </c>
      <c r="G9" s="4" t="s">
        <v>18</v>
      </c>
      <c r="H9" s="4" t="s">
        <v>9</v>
      </c>
      <c r="I9" s="4" t="s">
        <v>103</v>
      </c>
      <c r="J9" s="4" t="s">
        <v>172</v>
      </c>
      <c r="K9" s="4" t="s">
        <v>105</v>
      </c>
      <c r="L9" s="4" t="s">
        <v>106</v>
      </c>
      <c r="M9" s="4" t="s">
        <v>107</v>
      </c>
      <c r="N9" s="4" t="s">
        <v>173</v>
      </c>
      <c r="O9" s="4" t="s">
        <v>155</v>
      </c>
      <c r="P9" s="4" t="str">
        <f t="shared" si="0"/>
        <v>8-15 hrs</v>
      </c>
    </row>
    <row r="10" spans="1:17" x14ac:dyDescent="0.3">
      <c r="A10" s="4" t="s">
        <v>140</v>
      </c>
      <c r="B10" s="4" t="s">
        <v>62</v>
      </c>
      <c r="C10" s="4" t="s">
        <v>66</v>
      </c>
      <c r="D10" s="4" t="s">
        <v>81</v>
      </c>
      <c r="E10" s="4" t="s">
        <v>31</v>
      </c>
      <c r="F10" s="4" t="s">
        <v>8</v>
      </c>
      <c r="G10" s="4" t="s">
        <v>18</v>
      </c>
      <c r="H10" s="4" t="s">
        <v>41</v>
      </c>
      <c r="I10" s="4" t="s">
        <v>108</v>
      </c>
      <c r="J10" s="4" t="s">
        <v>174</v>
      </c>
      <c r="K10" s="4" t="s">
        <v>109</v>
      </c>
      <c r="L10" s="4" t="s">
        <v>175</v>
      </c>
      <c r="M10" s="4" t="s">
        <v>110</v>
      </c>
      <c r="N10" s="4" t="s">
        <v>176</v>
      </c>
      <c r="O10" s="4" t="s">
        <v>177</v>
      </c>
      <c r="P10" s="4" t="str">
        <f t="shared" si="0"/>
        <v>15-25 hrs</v>
      </c>
    </row>
    <row r="11" spans="1:17" x14ac:dyDescent="0.3">
      <c r="A11" s="4" t="s">
        <v>141</v>
      </c>
      <c r="B11" s="4" t="s">
        <v>62</v>
      </c>
      <c r="C11" s="4" t="s">
        <v>66</v>
      </c>
      <c r="D11" s="4" t="s">
        <v>30</v>
      </c>
      <c r="E11" s="4" t="s">
        <v>31</v>
      </c>
      <c r="F11" s="4" t="s">
        <v>18</v>
      </c>
      <c r="G11" s="4" t="s">
        <v>18</v>
      </c>
      <c r="H11" s="4" t="s">
        <v>9</v>
      </c>
      <c r="I11" s="4" t="s">
        <v>111</v>
      </c>
      <c r="J11" s="4" t="s">
        <v>178</v>
      </c>
      <c r="K11" s="4" t="s">
        <v>112</v>
      </c>
      <c r="L11" s="4" t="s">
        <v>179</v>
      </c>
      <c r="M11" s="4" t="s">
        <v>113</v>
      </c>
      <c r="N11" s="4" t="s">
        <v>180</v>
      </c>
      <c r="O11" s="4" t="s">
        <v>155</v>
      </c>
      <c r="P11" s="4" t="str">
        <f t="shared" si="0"/>
        <v>8-15 hrs</v>
      </c>
    </row>
    <row r="12" spans="1:17" x14ac:dyDescent="0.3">
      <c r="A12" s="4" t="s">
        <v>68</v>
      </c>
      <c r="B12" s="4" t="s">
        <v>62</v>
      </c>
      <c r="C12" s="4" t="s">
        <v>67</v>
      </c>
      <c r="D12" s="4" t="s">
        <v>34</v>
      </c>
      <c r="E12" s="4" t="s">
        <v>18</v>
      </c>
      <c r="F12" s="4" t="s">
        <v>8</v>
      </c>
      <c r="G12" s="4" t="s">
        <v>18</v>
      </c>
      <c r="H12" s="4" t="s">
        <v>9</v>
      </c>
      <c r="I12" s="4" t="s">
        <v>114</v>
      </c>
      <c r="J12" s="4" t="s">
        <v>181</v>
      </c>
      <c r="K12" s="4" t="s">
        <v>115</v>
      </c>
      <c r="L12" s="4" t="s">
        <v>182</v>
      </c>
      <c r="M12" s="4" t="s">
        <v>116</v>
      </c>
      <c r="N12" s="4" t="s">
        <v>183</v>
      </c>
      <c r="O12" s="4" t="s">
        <v>184</v>
      </c>
      <c r="P12" s="4" t="str">
        <f t="shared" si="0"/>
        <v>15-25 hrs</v>
      </c>
    </row>
    <row r="13" spans="1:17" x14ac:dyDescent="0.3">
      <c r="A13" s="4" t="s">
        <v>69</v>
      </c>
      <c r="B13" s="4" t="s">
        <v>62</v>
      </c>
      <c r="C13" s="4" t="s">
        <v>67</v>
      </c>
      <c r="D13" s="4" t="s">
        <v>30</v>
      </c>
      <c r="E13" s="4" t="s">
        <v>31</v>
      </c>
      <c r="F13" s="4" t="s">
        <v>18</v>
      </c>
      <c r="G13" s="4" t="s">
        <v>18</v>
      </c>
      <c r="H13" s="4" t="s">
        <v>9</v>
      </c>
      <c r="I13" s="4" t="s">
        <v>117</v>
      </c>
      <c r="J13" s="4" t="s">
        <v>185</v>
      </c>
      <c r="K13" s="4" t="s">
        <v>118</v>
      </c>
      <c r="L13" s="4" t="s">
        <v>186</v>
      </c>
      <c r="M13" s="4" t="s">
        <v>119</v>
      </c>
      <c r="N13" s="4" t="s">
        <v>187</v>
      </c>
      <c r="O13" s="4" t="s">
        <v>188</v>
      </c>
      <c r="P13" s="4" t="str">
        <f t="shared" si="0"/>
        <v>8-15 hrs</v>
      </c>
    </row>
    <row r="14" spans="1:17" x14ac:dyDescent="0.3">
      <c r="A14" s="4" t="s">
        <v>70</v>
      </c>
      <c r="B14" s="4" t="s">
        <v>62</v>
      </c>
      <c r="C14" s="4" t="s">
        <v>67</v>
      </c>
      <c r="D14" s="4" t="s">
        <v>34</v>
      </c>
      <c r="E14" s="4" t="s">
        <v>18</v>
      </c>
      <c r="F14" s="4" t="s">
        <v>8</v>
      </c>
      <c r="G14" s="4" t="s">
        <v>8</v>
      </c>
      <c r="H14" s="4" t="s">
        <v>9</v>
      </c>
      <c r="I14" s="4" t="s">
        <v>120</v>
      </c>
      <c r="J14" s="4" t="s">
        <v>189</v>
      </c>
      <c r="K14" s="4" t="s">
        <v>121</v>
      </c>
      <c r="L14" s="4" t="s">
        <v>190</v>
      </c>
      <c r="M14" s="4" t="s">
        <v>122</v>
      </c>
      <c r="N14" s="4" t="s">
        <v>191</v>
      </c>
      <c r="O14" s="4" t="s">
        <v>192</v>
      </c>
      <c r="P14" s="4" t="str">
        <f t="shared" si="0"/>
        <v>15-25 hrs</v>
      </c>
    </row>
    <row r="15" spans="1:17" x14ac:dyDescent="0.3">
      <c r="A15" s="4" t="s">
        <v>80</v>
      </c>
      <c r="B15" s="4" t="s">
        <v>62</v>
      </c>
      <c r="C15" s="4" t="s">
        <v>67</v>
      </c>
      <c r="D15" s="4" t="s">
        <v>35</v>
      </c>
      <c r="E15" s="4" t="s">
        <v>18</v>
      </c>
      <c r="F15" s="4" t="s">
        <v>8</v>
      </c>
      <c r="G15" s="4" t="s">
        <v>8</v>
      </c>
      <c r="H15" s="4" t="s">
        <v>9</v>
      </c>
      <c r="I15" s="4" t="s">
        <v>123</v>
      </c>
      <c r="J15" s="4" t="s">
        <v>193</v>
      </c>
      <c r="K15" s="4" t="s">
        <v>124</v>
      </c>
      <c r="L15" s="4" t="s">
        <v>165</v>
      </c>
      <c r="M15" s="4" t="s">
        <v>125</v>
      </c>
      <c r="N15" s="4" t="s">
        <v>194</v>
      </c>
      <c r="O15" s="4" t="s">
        <v>195</v>
      </c>
      <c r="P15" s="4" t="str">
        <f t="shared" si="0"/>
        <v>15-25 hrs</v>
      </c>
    </row>
    <row r="16" spans="1:17" x14ac:dyDescent="0.3">
      <c r="A16" s="4" t="s">
        <v>25</v>
      </c>
      <c r="B16" s="4" t="s">
        <v>23</v>
      </c>
      <c r="C16" s="4" t="s">
        <v>67</v>
      </c>
      <c r="D16" s="4" t="s">
        <v>35</v>
      </c>
      <c r="E16" s="4" t="s">
        <v>18</v>
      </c>
      <c r="F16" s="4" t="s">
        <v>8</v>
      </c>
      <c r="G16" s="4" t="s">
        <v>8</v>
      </c>
      <c r="H16" s="4" t="s">
        <v>9</v>
      </c>
      <c r="I16" s="4" t="s">
        <v>126</v>
      </c>
      <c r="J16" s="4" t="s">
        <v>196</v>
      </c>
      <c r="K16" s="4" t="s">
        <v>127</v>
      </c>
      <c r="L16" s="4" t="s">
        <v>34</v>
      </c>
      <c r="M16" s="4" t="s">
        <v>128</v>
      </c>
      <c r="N16" s="4" t="s">
        <v>183</v>
      </c>
      <c r="O16" s="4" t="s">
        <v>197</v>
      </c>
      <c r="P16" s="4" t="str">
        <f t="shared" si="0"/>
        <v>15-25 hrs</v>
      </c>
    </row>
    <row r="17" spans="1:16" x14ac:dyDescent="0.3">
      <c r="A17" s="4" t="s">
        <v>74</v>
      </c>
      <c r="B17" s="4" t="s">
        <v>62</v>
      </c>
      <c r="C17" s="4" t="s">
        <v>73</v>
      </c>
      <c r="D17" s="4" t="s">
        <v>34</v>
      </c>
      <c r="E17" s="4" t="s">
        <v>18</v>
      </c>
      <c r="F17" s="4" t="s">
        <v>18</v>
      </c>
      <c r="G17" s="4" t="s">
        <v>18</v>
      </c>
      <c r="H17" s="4" t="s">
        <v>9</v>
      </c>
      <c r="I17" s="4" t="s">
        <v>129</v>
      </c>
      <c r="J17" s="4" t="s">
        <v>198</v>
      </c>
      <c r="K17" s="4" t="s">
        <v>130</v>
      </c>
      <c r="L17" s="4" t="s">
        <v>199</v>
      </c>
      <c r="M17" s="4" t="s">
        <v>131</v>
      </c>
      <c r="N17" s="4" t="s">
        <v>200</v>
      </c>
      <c r="O17" s="4" t="s">
        <v>201</v>
      </c>
      <c r="P17" s="4" t="str">
        <f t="shared" si="0"/>
        <v>8-15 hrs</v>
      </c>
    </row>
    <row r="18" spans="1:16" x14ac:dyDescent="0.3">
      <c r="A18" s="4" t="s">
        <v>24</v>
      </c>
      <c r="B18" s="4" t="s">
        <v>62</v>
      </c>
      <c r="C18" s="4" t="s">
        <v>73</v>
      </c>
      <c r="D18" s="4" t="s">
        <v>35</v>
      </c>
      <c r="E18" s="4" t="s">
        <v>18</v>
      </c>
      <c r="F18" s="4" t="s">
        <v>8</v>
      </c>
      <c r="G18" s="4" t="s">
        <v>8</v>
      </c>
      <c r="H18" s="4" t="s">
        <v>9</v>
      </c>
      <c r="I18" s="4" t="s">
        <v>132</v>
      </c>
      <c r="J18" s="4" t="s">
        <v>202</v>
      </c>
      <c r="K18" s="4" t="s">
        <v>142</v>
      </c>
      <c r="L18" s="4" t="s">
        <v>203</v>
      </c>
      <c r="M18" s="4" t="s">
        <v>133</v>
      </c>
      <c r="N18" s="4" t="s">
        <v>204</v>
      </c>
      <c r="O18" s="4" t="s">
        <v>205</v>
      </c>
      <c r="P18" s="4" t="str">
        <f t="shared" si="0"/>
        <v>15-25 hrs</v>
      </c>
    </row>
    <row r="19" spans="1:16" x14ac:dyDescent="0.3">
      <c r="A19" s="4" t="s">
        <v>92</v>
      </c>
      <c r="B19" s="4" t="s">
        <v>90</v>
      </c>
      <c r="C19" s="4" t="s">
        <v>91</v>
      </c>
      <c r="D19" s="4" t="s">
        <v>88</v>
      </c>
      <c r="E19" s="4" t="s">
        <v>8</v>
      </c>
      <c r="F19" s="4" t="s">
        <v>8</v>
      </c>
      <c r="G19" s="4" t="s">
        <v>8</v>
      </c>
      <c r="H19" s="4" t="s">
        <v>9</v>
      </c>
      <c r="I19" s="4" t="s">
        <v>89</v>
      </c>
      <c r="J19" s="4" t="s">
        <v>206</v>
      </c>
      <c r="K19" s="4" t="s">
        <v>134</v>
      </c>
      <c r="L19" s="4" t="s">
        <v>207</v>
      </c>
      <c r="M19" s="4" t="s">
        <v>247</v>
      </c>
      <c r="N19" s="4" t="s">
        <v>208</v>
      </c>
      <c r="O19" s="4" t="s">
        <v>209</v>
      </c>
      <c r="P19" s="4" t="str">
        <f t="shared" si="0"/>
        <v>15-25 hrs</v>
      </c>
    </row>
    <row r="20" spans="1:17" x14ac:dyDescent="0.3">
      <c r="A20" s="4" t="s">
        <v>212</v>
      </c>
      <c r="B20" s="4" t="s">
        <v>213</v>
      </c>
      <c r="C20" s="4" t="s">
        <v>66</v>
      </c>
      <c r="D20" s="4" t="s">
        <v>214</v>
      </c>
      <c r="E20" s="4" t="s">
        <v>18</v>
      </c>
      <c r="F20" s="4" t="s">
        <v>8</v>
      </c>
      <c r="G20" s="4" t="s">
        <v>31</v>
      </c>
      <c r="H20" s="4" t="s">
        <v>9</v>
      </c>
      <c r="I20" s="4" t="s">
        <v>215</v>
      </c>
      <c r="J20" s="4" t="s">
        <v>248</v>
      </c>
      <c r="K20" s="4" t="s">
        <v>249</v>
      </c>
      <c r="L20" s="4" t="s">
        <v>250</v>
      </c>
      <c r="M20" s="4" t="s">
        <v>251</v>
      </c>
      <c r="N20" s="4" t="s">
        <v>252</v>
      </c>
      <c r="O20" s="4">
        <v>48</v>
      </c>
      <c r="P20" s="4" t="str">
        <f t="shared" si="0"/>
        <v>15-25 hrs</v>
      </c>
    </row>
    <row r="21" spans="1:17" x14ac:dyDescent="0.3">
      <c r="A21" s="4" t="s">
        <v>216</v>
      </c>
      <c r="B21" s="4" t="s">
        <v>213</v>
      </c>
      <c r="C21" s="4" t="s">
        <v>66</v>
      </c>
      <c r="D21" s="4" t="s">
        <v>217</v>
      </c>
      <c r="E21" s="4" t="s">
        <v>18</v>
      </c>
      <c r="F21" s="4" t="s">
        <v>8</v>
      </c>
      <c r="G21" s="4" t="s">
        <v>31</v>
      </c>
      <c r="H21" s="4" t="s">
        <v>9</v>
      </c>
      <c r="I21" s="4" t="s">
        <v>218</v>
      </c>
      <c r="J21" s="4" t="s">
        <v>253</v>
      </c>
      <c r="K21" s="4" t="s">
        <v>254</v>
      </c>
      <c r="L21" s="4" t="s">
        <v>255</v>
      </c>
      <c r="M21" s="4" t="s">
        <v>256</v>
      </c>
      <c r="N21" s="4" t="s">
        <v>252</v>
      </c>
      <c r="O21" s="4">
        <v>48</v>
      </c>
      <c r="P21" s="4" t="str">
        <f t="shared" si="0"/>
        <v>15-25 hrs</v>
      </c>
    </row>
    <row r="22" spans="1:17" x14ac:dyDescent="0.3">
      <c r="A22" s="4" t="s">
        <v>219</v>
      </c>
      <c r="B22" s="4" t="s">
        <v>213</v>
      </c>
      <c r="C22" s="4" t="s">
        <v>66</v>
      </c>
      <c r="D22" s="4" t="s">
        <v>220</v>
      </c>
      <c r="E22" s="4" t="s">
        <v>18</v>
      </c>
      <c r="F22" s="4" t="s">
        <v>8</v>
      </c>
      <c r="G22" s="4" t="s">
        <v>31</v>
      </c>
      <c r="H22" s="4" t="s">
        <v>9</v>
      </c>
      <c r="I22" s="4" t="s">
        <v>221</v>
      </c>
      <c r="J22" s="4" t="s">
        <v>257</v>
      </c>
      <c r="K22" s="4" t="s">
        <v>258</v>
      </c>
      <c r="L22" s="4" t="s">
        <v>259</v>
      </c>
      <c r="M22" s="4" t="s">
        <v>260</v>
      </c>
      <c r="N22" s="4" t="s">
        <v>252</v>
      </c>
      <c r="O22" s="4">
        <v>48</v>
      </c>
      <c r="P22" s="4" t="str">
        <f t="shared" si="0"/>
        <v>15-25 hrs</v>
      </c>
    </row>
    <row r="23" spans="1:17" x14ac:dyDescent="0.3">
      <c r="A23" s="4" t="s">
        <v>222</v>
      </c>
      <c r="B23" s="4" t="s">
        <v>213</v>
      </c>
      <c r="C23" s="4" t="s">
        <v>66</v>
      </c>
      <c r="D23" s="4" t="s">
        <v>223</v>
      </c>
      <c r="E23" s="4" t="s">
        <v>18</v>
      </c>
      <c r="F23" s="4" t="s">
        <v>8</v>
      </c>
      <c r="G23" s="4" t="s">
        <v>31</v>
      </c>
      <c r="H23" s="4" t="s">
        <v>41</v>
      </c>
      <c r="I23" s="4" t="s">
        <v>224</v>
      </c>
      <c r="J23" s="4" t="s">
        <v>261</v>
      </c>
      <c r="K23" s="4" t="s">
        <v>262</v>
      </c>
      <c r="L23" s="4" t="s">
        <v>263</v>
      </c>
      <c r="M23" s="4" t="s">
        <v>264</v>
      </c>
      <c r="N23" s="4" t="s">
        <v>252</v>
      </c>
      <c r="O23" s="4">
        <v>48</v>
      </c>
      <c r="P23" s="4" t="str">
        <f t="shared" si="0"/>
        <v>15-25 hrs</v>
      </c>
    </row>
    <row r="24" spans="1:17" ht="28.8" x14ac:dyDescent="0.3">
      <c r="A24" s="4" t="s">
        <v>242</v>
      </c>
      <c r="B24" s="4" t="s">
        <v>62</v>
      </c>
      <c r="C24" s="4" t="s">
        <v>66</v>
      </c>
      <c r="D24" s="4" t="s">
        <v>35</v>
      </c>
      <c r="E24" s="4" t="s">
        <v>8</v>
      </c>
      <c r="F24" s="4" t="s">
        <v>8</v>
      </c>
      <c r="G24" s="4" t="s">
        <v>8</v>
      </c>
      <c r="H24" s="4" t="s">
        <v>9</v>
      </c>
      <c r="I24" s="22" t="s">
        <v>265</v>
      </c>
      <c r="J24" s="4" t="s">
        <v>266</v>
      </c>
      <c r="K24" s="4" t="s">
        <v>267</v>
      </c>
      <c r="L24" s="4" t="s">
        <v>268</v>
      </c>
      <c r="M24" s="4" t="s">
        <v>269</v>
      </c>
      <c r="N24" s="4" t="s">
        <v>252</v>
      </c>
      <c r="O24" s="4">
        <v>108</v>
      </c>
      <c r="P24" s="4" t="str">
        <f t="shared" si="0"/>
        <v>15-25 hrs</v>
      </c>
    </row>
    <row r="25" spans="1:17" x14ac:dyDescent="0.3">
      <c r="A25" s="4" t="s">
        <v>243</v>
      </c>
      <c r="B25" s="21" t="s">
        <v>244</v>
      </c>
      <c r="C25" s="4" t="s">
        <v>66</v>
      </c>
      <c r="D25" s="4" t="s">
        <v>35</v>
      </c>
      <c r="E25" s="4" t="s">
        <v>8</v>
      </c>
      <c r="F25" s="4" t="s">
        <v>8</v>
      </c>
      <c r="G25" s="4" t="s">
        <v>8</v>
      </c>
      <c r="H25" s="4" t="s">
        <v>9</v>
      </c>
      <c r="I25" s="22" t="s">
        <v>270</v>
      </c>
      <c r="J25" s="4" t="s">
        <v>271</v>
      </c>
      <c r="K25" s="4" t="s">
        <v>272</v>
      </c>
      <c r="L25" s="4" t="s">
        <v>273</v>
      </c>
      <c r="M25" s="4" t="s">
        <v>274</v>
      </c>
      <c r="N25" s="4" t="s">
        <v>252</v>
      </c>
      <c r="O25" s="4">
        <v>96</v>
      </c>
      <c r="P25" s="4" t="str">
        <f t="shared" si="0"/>
        <v>15-25 hrs</v>
      </c>
    </row>
    <row r="26" spans="1:17" x14ac:dyDescent="0.3">
      <c r="A26" s="4" t="s">
        <v>276</v>
      </c>
      <c r="B26" s="4" t="s">
        <v>62</v>
      </c>
      <c r="C26" s="4" t="s">
        <v>277</v>
      </c>
      <c r="D26" s="4" t="s">
        <v>32</v>
      </c>
      <c r="E26" s="4" t="s">
        <v>31</v>
      </c>
      <c r="F26" s="4" t="s">
        <v>8</v>
      </c>
      <c r="G26" s="4" t="s">
        <v>8</v>
      </c>
      <c r="H26" s="4" t="s">
        <v>41</v>
      </c>
      <c r="I26" s="4" t="s">
        <v>278</v>
      </c>
      <c r="J26" s="4" t="s">
        <v>279</v>
      </c>
      <c r="K26" s="4" t="s">
        <v>280</v>
      </c>
      <c r="L26" s="4" t="s">
        <v>281</v>
      </c>
      <c r="M26" s="4" t="s">
        <v>282</v>
      </c>
      <c r="N26" s="4" t="s">
        <v>252</v>
      </c>
      <c r="O26" s="4">
        <v>56</v>
      </c>
      <c r="P26" s="4" t="s">
        <v>283</v>
      </c>
      <c r="Q26" s="4" t="s">
        <v>284</v>
      </c>
    </row>
    <row r="27" spans="1:17" x14ac:dyDescent="0.3">
      <c r="A27" s="4" t="s">
        <v>285</v>
      </c>
      <c r="B27" s="4" t="s">
        <v>213</v>
      </c>
      <c r="C27" s="4" t="s">
        <v>286</v>
      </c>
      <c r="D27" s="4" t="s">
        <v>30</v>
      </c>
      <c r="E27" s="4" t="s">
        <v>18</v>
      </c>
      <c r="F27" s="4" t="s">
        <v>8</v>
      </c>
      <c r="G27" s="4" t="s">
        <v>8</v>
      </c>
      <c r="H27" s="4" t="s">
        <v>41</v>
      </c>
      <c r="I27" s="4" t="s">
        <v>287</v>
      </c>
      <c r="J27" s="4" t="s">
        <v>288</v>
      </c>
      <c r="K27" s="4" t="s">
        <v>289</v>
      </c>
      <c r="L27" s="4" t="s">
        <v>290</v>
      </c>
      <c r="M27" s="4" t="s">
        <v>291</v>
      </c>
      <c r="N27" s="4" t="s">
        <v>252</v>
      </c>
      <c r="O27" s="4">
        <v>48</v>
      </c>
      <c r="P27" s="4" t="s">
        <v>283</v>
      </c>
      <c r="Q27" s="4" t="s">
        <v>252</v>
      </c>
    </row>
  </sheetData>
  <hyperlinks>
    <hyperlink ref="Q2" r:id="rId1" display="https://jaggaer.sharepoint.com/:f:/t/CustomerSuccess-Leadership/IgCmUHclbT11QYaQgxiHa8c0ASaOXWSP3kC75Weu40afgt8?e=xshvX8" xr:uid="{8161A654-2043-4C61-822B-2D8CD393BE44}"/>
    <hyperlink ref="Q3" r:id="rId2" display="https://jaggaer.sharepoint.com/:f:/t/CustomerSuccess-Leadership/IgBM_V801zNWQ5xyHl0hy0V8Ab5M6IS6Qi858aFuDKw5ofs?e=eJJ8Ou" xr:uid="{D3145460-BD34-47B7-905A-60B8C49AC424}"/>
    <hyperlink ref="Q26" r:id="rId3" display="Supplier Enablement Opportunity Tool.html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9F25-C1F7-4B5B-A219-A953D325BF01}">
  <dimension ref="A1:I27"/>
  <sheetViews>
    <sheetView workbookViewId="0">
      <selection activeCell="A38" sqref="A38"/>
    </sheetView>
  </sheetViews>
  <sheetFormatPr defaultRowHeight="14.4" x14ac:dyDescent="0.3"/>
  <cols>
    <col min="1" max="1" width="28.33203125" customWidth="1"/>
    <col min="2" max="2" width="35.5546875" customWidth="1"/>
    <col min="3" max="3" width="25.44140625" customWidth="1"/>
    <col min="4" max="4" width="21.6640625" customWidth="1"/>
    <col min="7" max="7" width="28.33203125" customWidth="1"/>
    <col min="8" max="8" width="17.21875" customWidth="1"/>
    <col min="9" max="9" width="20.44140625" customWidth="1"/>
  </cols>
  <sheetData>
    <row r="1" spans="1:9" x14ac:dyDescent="0.3">
      <c r="A1" s="1" t="s">
        <v>58</v>
      </c>
    </row>
    <row r="2" spans="1:9" x14ac:dyDescent="0.3">
      <c r="A2" s="1" t="s">
        <v>59</v>
      </c>
    </row>
    <row r="4" spans="1:9" ht="43.2" x14ac:dyDescent="0.3">
      <c r="A4" s="2" t="s">
        <v>26</v>
      </c>
      <c r="B4" s="2" t="s">
        <v>27</v>
      </c>
      <c r="C4" s="2" t="s">
        <v>28</v>
      </c>
      <c r="D4" s="2" t="s">
        <v>29</v>
      </c>
      <c r="G4" s="2" t="s">
        <v>47</v>
      </c>
      <c r="H4" s="2" t="s">
        <v>48</v>
      </c>
      <c r="I4" s="2" t="s">
        <v>49</v>
      </c>
    </row>
    <row r="5" spans="1:9" x14ac:dyDescent="0.3">
      <c r="A5" s="3" t="s">
        <v>30</v>
      </c>
      <c r="B5" s="3" t="s">
        <v>31</v>
      </c>
      <c r="C5" s="3" t="s">
        <v>31</v>
      </c>
      <c r="D5" s="3" t="s">
        <v>31</v>
      </c>
      <c r="G5" s="3" t="s">
        <v>50</v>
      </c>
      <c r="H5" s="3" t="s">
        <v>51</v>
      </c>
      <c r="I5" s="3" t="s">
        <v>52</v>
      </c>
    </row>
    <row r="6" spans="1:9" x14ac:dyDescent="0.3">
      <c r="A6" s="3" t="s">
        <v>32</v>
      </c>
      <c r="B6" s="3" t="s">
        <v>31</v>
      </c>
      <c r="C6" s="3" t="s">
        <v>33</v>
      </c>
      <c r="D6" s="3" t="s">
        <v>33</v>
      </c>
      <c r="G6" s="3" t="s">
        <v>53</v>
      </c>
      <c r="H6" s="3" t="s">
        <v>52</v>
      </c>
      <c r="I6" s="3" t="s">
        <v>51</v>
      </c>
    </row>
    <row r="7" spans="1:9" x14ac:dyDescent="0.3">
      <c r="A7" s="3" t="s">
        <v>34</v>
      </c>
      <c r="B7" s="3" t="s">
        <v>18</v>
      </c>
      <c r="C7" s="3" t="s">
        <v>18</v>
      </c>
      <c r="D7" s="3" t="s">
        <v>18</v>
      </c>
      <c r="G7" s="3" t="s">
        <v>54</v>
      </c>
      <c r="H7" s="3" t="s">
        <v>52</v>
      </c>
      <c r="I7" s="3" t="s">
        <v>51</v>
      </c>
    </row>
    <row r="8" spans="1:9" x14ac:dyDescent="0.3">
      <c r="A8" s="3" t="s">
        <v>35</v>
      </c>
      <c r="B8" s="3" t="s">
        <v>8</v>
      </c>
      <c r="C8" s="3" t="s">
        <v>8</v>
      </c>
      <c r="D8" s="3" t="s">
        <v>8</v>
      </c>
      <c r="G8" s="3" t="s">
        <v>55</v>
      </c>
      <c r="H8" s="3" t="s">
        <v>52</v>
      </c>
      <c r="I8" s="3" t="s">
        <v>51</v>
      </c>
    </row>
    <row r="9" spans="1:9" x14ac:dyDescent="0.3">
      <c r="G9" s="3" t="s">
        <v>56</v>
      </c>
      <c r="H9" s="3" t="s">
        <v>52</v>
      </c>
      <c r="I9" s="3" t="s">
        <v>57</v>
      </c>
    </row>
    <row r="10" spans="1:9" x14ac:dyDescent="0.3">
      <c r="A10" s="3" t="s">
        <v>40</v>
      </c>
    </row>
    <row r="11" spans="1:9" x14ac:dyDescent="0.3">
      <c r="A11" s="4" t="s">
        <v>9</v>
      </c>
    </row>
    <row r="12" spans="1:9" x14ac:dyDescent="0.3">
      <c r="A12" s="4" t="s">
        <v>36</v>
      </c>
    </row>
    <row r="13" spans="1:9" x14ac:dyDescent="0.3">
      <c r="A13" s="4" t="s">
        <v>41</v>
      </c>
    </row>
    <row r="14" spans="1:9" x14ac:dyDescent="0.3">
      <c r="A14" s="4" t="s">
        <v>37</v>
      </c>
    </row>
    <row r="15" spans="1:9" x14ac:dyDescent="0.3">
      <c r="A15" s="4" t="s">
        <v>38</v>
      </c>
    </row>
    <row r="16" spans="1:9" x14ac:dyDescent="0.3">
      <c r="A16" s="4" t="s">
        <v>42</v>
      </c>
    </row>
    <row r="17" spans="1:4" x14ac:dyDescent="0.3">
      <c r="A17" s="4" t="s">
        <v>39</v>
      </c>
    </row>
    <row r="19" spans="1:4" x14ac:dyDescent="0.3">
      <c r="A19" s="4" t="s">
        <v>43</v>
      </c>
    </row>
    <row r="20" spans="1:4" x14ac:dyDescent="0.3">
      <c r="A20" s="5" t="s">
        <v>44</v>
      </c>
    </row>
    <row r="21" spans="1:4" x14ac:dyDescent="0.3">
      <c r="A21" s="5" t="s">
        <v>45</v>
      </c>
    </row>
    <row r="22" spans="1:4" x14ac:dyDescent="0.3">
      <c r="A22" s="5" t="s">
        <v>46</v>
      </c>
    </row>
    <row r="24" spans="1:4" x14ac:dyDescent="0.3">
      <c r="A24" s="9" t="s">
        <v>78</v>
      </c>
      <c r="B24" s="9" t="s">
        <v>76</v>
      </c>
      <c r="C24" s="9" t="s">
        <v>77</v>
      </c>
      <c r="D24" s="8"/>
    </row>
    <row r="25" spans="1:4" x14ac:dyDescent="0.3">
      <c r="A25" s="10" t="s">
        <v>8</v>
      </c>
      <c r="B25" s="10" t="s">
        <v>82</v>
      </c>
      <c r="C25" s="10" t="s">
        <v>83</v>
      </c>
    </row>
    <row r="26" spans="1:4" x14ac:dyDescent="0.3">
      <c r="A26" s="10" t="s">
        <v>18</v>
      </c>
      <c r="B26" s="10" t="s">
        <v>84</v>
      </c>
      <c r="C26" s="10" t="s">
        <v>85</v>
      </c>
    </row>
    <row r="27" spans="1:4" x14ac:dyDescent="0.3">
      <c r="A27" s="10" t="s">
        <v>31</v>
      </c>
      <c r="B27" s="10" t="s">
        <v>86</v>
      </c>
      <c r="C27" s="10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200-000000000000}">
  <dimension ref="A1:M31"/>
  <sheetViews>
    <sheetView workbookViewId="0">
      <pane ySplit="1" topLeftCell="A2" activePane="bottomLeft" state="frozen"/>
      <selection pane="bottomLeft" activeCell="F24" sqref="F24"/>
    </sheetView>
  </sheetViews>
  <sheetFormatPr defaultRowHeight="14.4" x14ac:dyDescent="0.3"/>
  <cols>
    <col min="1" max="1" width="35" customWidth="1"/>
    <col min="2" max="2" width="16" customWidth="1"/>
    <col min="3" max="3" width="14" customWidth="1"/>
    <col min="4" max="4" width="24" customWidth="1"/>
    <col min="5" max="5" width="16" customWidth="1"/>
    <col min="6" max="6" width="22" customWidth="1"/>
    <col min="7" max="7" width="23" customWidth="1"/>
    <col min="8" max="8" width="25" customWidth="1"/>
    <col min="9" max="9" width="21.88671875" customWidth="1"/>
    <col min="10" max="10" width="23" customWidth="1"/>
    <col min="11" max="11" width="4.109375" style="12" customWidth="1"/>
    <col min="12" max="12" width="28.33203125" customWidth="1"/>
    <col min="13" max="13" width="20.88671875" customWidth="1"/>
  </cols>
  <sheetData>
    <row r="1" spans="1:13" ht="27.6" customHeight="1" x14ac:dyDescent="0.3">
      <c r="A1" s="6" t="s">
        <v>236</v>
      </c>
    </row>
    <row r="2" spans="1:13" x14ac:dyDescent="0.3">
      <c r="A2" s="4" t="s">
        <v>237</v>
      </c>
    </row>
    <row r="4" spans="1:13" ht="15.6" x14ac:dyDescent="0.3">
      <c r="A4" s="6" t="s">
        <v>0</v>
      </c>
      <c r="B4" s="6" t="s">
        <v>226</v>
      </c>
      <c r="C4" s="6" t="s">
        <v>227</v>
      </c>
      <c r="D4" s="6" t="s">
        <v>228</v>
      </c>
      <c r="E4" s="6" t="s">
        <v>229</v>
      </c>
      <c r="F4" s="6" t="s">
        <v>230</v>
      </c>
      <c r="G4" s="6" t="s">
        <v>231</v>
      </c>
      <c r="H4" s="6" t="s">
        <v>232</v>
      </c>
      <c r="I4" s="6" t="s">
        <v>233</v>
      </c>
      <c r="J4" s="13" t="s">
        <v>234</v>
      </c>
      <c r="K4" s="14"/>
      <c r="L4" s="15" t="s">
        <v>235</v>
      </c>
      <c r="M4" s="6" t="s">
        <v>240</v>
      </c>
    </row>
    <row r="5" spans="1:13" x14ac:dyDescent="0.3">
      <c r="A5" s="4" t="s">
        <v>136</v>
      </c>
      <c r="B5" s="4">
        <v>45</v>
      </c>
      <c r="C5" s="4">
        <f>ROUND(B5*0.1,0)</f>
        <v>5</v>
      </c>
      <c r="D5" s="4">
        <f>ROUND(B5*0.15,0)</f>
        <v>7</v>
      </c>
      <c r="E5" s="4">
        <f>B5-C5-D5-F5</f>
        <v>24</v>
      </c>
      <c r="F5" s="4">
        <f>ROUND(B5*0.2,0)</f>
        <v>9</v>
      </c>
      <c r="G5" s="4">
        <f>MAX(4,ROUND(B5*0.1,0))</f>
        <v>5</v>
      </c>
      <c r="H5" s="4">
        <f>G5*12</f>
        <v>60</v>
      </c>
      <c r="I5" s="4">
        <f>ROUND(B5/1600,2)</f>
        <v>0.03</v>
      </c>
      <c r="J5" s="16">
        <v>0.04</v>
      </c>
      <c r="L5" s="17">
        <v>2</v>
      </c>
      <c r="M5" s="4">
        <f>(L5*30*12)/1800</f>
        <v>0.4</v>
      </c>
    </row>
    <row r="6" spans="1:13" x14ac:dyDescent="0.3">
      <c r="A6" s="4" t="s">
        <v>14</v>
      </c>
      <c r="B6" s="4">
        <v>80</v>
      </c>
      <c r="C6" s="4">
        <f>ROUND(B6*0.1,0)</f>
        <v>8</v>
      </c>
      <c r="D6" s="4">
        <f>ROUND(B6*0.15,0)</f>
        <v>12</v>
      </c>
      <c r="E6" s="4">
        <f>B6-C6-D6-F6</f>
        <v>44</v>
      </c>
      <c r="F6" s="4">
        <f>ROUND(B6*0.2,0)</f>
        <v>16</v>
      </c>
      <c r="G6" s="4">
        <f>MAX(5,ROUND(B6*0.12,0))</f>
        <v>10</v>
      </c>
      <c r="H6" s="4">
        <f>G6*12</f>
        <v>120</v>
      </c>
      <c r="I6" s="4">
        <f>ROUND(B6/1600,2)</f>
        <v>0.05</v>
      </c>
      <c r="J6" s="16">
        <v>0.08</v>
      </c>
      <c r="L6" s="17">
        <v>2</v>
      </c>
      <c r="M6" s="4">
        <f>(L6*30*12)/1800</f>
        <v>0.4</v>
      </c>
    </row>
    <row r="7" spans="1:13" x14ac:dyDescent="0.3">
      <c r="A7" s="4" t="s">
        <v>72</v>
      </c>
      <c r="B7" s="4">
        <v>24</v>
      </c>
      <c r="C7" s="4">
        <f>ROUND(B7*0.15,0)</f>
        <v>4</v>
      </c>
      <c r="D7" s="4">
        <f>ROUND(B7*0.2,0)</f>
        <v>5</v>
      </c>
      <c r="E7" s="4">
        <f>B7-C7-D7-F7</f>
        <v>10</v>
      </c>
      <c r="F7" s="4">
        <f>ROUND(B7*0.2,0)</f>
        <v>5</v>
      </c>
      <c r="G7" s="4">
        <f>MAX(2,ROUND(B7*0.06,0))</f>
        <v>2</v>
      </c>
      <c r="H7" s="4">
        <f>G7*12</f>
        <v>24</v>
      </c>
      <c r="I7" s="4">
        <f>ROUND(B7/1600,2)</f>
        <v>0.02</v>
      </c>
      <c r="J7" s="16">
        <v>0.02</v>
      </c>
      <c r="L7" s="17">
        <v>4</v>
      </c>
      <c r="M7" s="4">
        <f>(L7*30*12)/1800</f>
        <v>0.8</v>
      </c>
    </row>
    <row r="8" spans="1:13" x14ac:dyDescent="0.3">
      <c r="A8" s="4" t="s">
        <v>104</v>
      </c>
      <c r="B8" s="4">
        <v>56</v>
      </c>
      <c r="C8" s="4">
        <f>ROUND(B8*0.1,0)</f>
        <v>6</v>
      </c>
      <c r="D8" s="4">
        <f>ROUND(B8*0.15,0)</f>
        <v>8</v>
      </c>
      <c r="E8" s="4">
        <f>B8-C8-D8-F8</f>
        <v>31</v>
      </c>
      <c r="F8" s="4">
        <f>ROUND(B8*0.2,0)</f>
        <v>11</v>
      </c>
      <c r="G8" s="4">
        <f>MAX(4,ROUND(B8*0.1,0))</f>
        <v>6</v>
      </c>
      <c r="H8" s="4">
        <f>G8*12</f>
        <v>72</v>
      </c>
      <c r="I8" s="4">
        <f>ROUND(B8/1600,2)</f>
        <v>0.04</v>
      </c>
      <c r="J8" s="16">
        <v>0.05</v>
      </c>
      <c r="L8" s="17">
        <v>8</v>
      </c>
      <c r="M8" s="4">
        <f>(L8*30*12)/1800</f>
        <v>1.6</v>
      </c>
    </row>
    <row r="9" spans="1:13" x14ac:dyDescent="0.3">
      <c r="A9" s="4" t="s">
        <v>211</v>
      </c>
      <c r="B9" s="4">
        <v>72</v>
      </c>
      <c r="C9" s="4">
        <f>ROUND(B9*0.1,0)</f>
        <v>7</v>
      </c>
      <c r="D9" s="4">
        <f>ROUND(B9*0.15,0)</f>
        <v>11</v>
      </c>
      <c r="E9" s="4">
        <f>B9-C9-D9-F9</f>
        <v>40</v>
      </c>
      <c r="F9" s="4">
        <f>ROUND(B9*0.2,0)</f>
        <v>14</v>
      </c>
      <c r="G9" s="4">
        <f>MAX(4,ROUND(B9*0.1,0))</f>
        <v>7</v>
      </c>
      <c r="H9" s="4">
        <f>G9*12</f>
        <v>84</v>
      </c>
      <c r="I9" s="4">
        <f>ROUND(B9/1600,2)</f>
        <v>0.05</v>
      </c>
      <c r="J9" s="16">
        <v>0.05</v>
      </c>
      <c r="L9" s="17">
        <v>12</v>
      </c>
      <c r="M9" s="4">
        <f>(L9*30*12)/1800</f>
        <v>2.4</v>
      </c>
    </row>
    <row r="10" spans="1:13" x14ac:dyDescent="0.3">
      <c r="A10" s="4" t="s">
        <v>137</v>
      </c>
      <c r="B10" s="4">
        <v>40</v>
      </c>
      <c r="C10" s="4">
        <f>ROUND(B10*0.15,0)</f>
        <v>6</v>
      </c>
      <c r="D10" s="4">
        <f>ROUND(B10*0.2,0)</f>
        <v>8</v>
      </c>
      <c r="E10" s="4">
        <f>B10-C10-D10-F10</f>
        <v>18</v>
      </c>
      <c r="F10" s="4">
        <f>ROUND(B10*0.2,0)</f>
        <v>8</v>
      </c>
      <c r="G10" s="4">
        <f>MAX(2,ROUND(B10*0.06,0))</f>
        <v>2</v>
      </c>
      <c r="H10" s="4">
        <f>G10*12</f>
        <v>24</v>
      </c>
      <c r="I10" s="4">
        <f>ROUND(B10/1600,2)</f>
        <v>0.03</v>
      </c>
      <c r="J10" s="16">
        <v>0.02</v>
      </c>
      <c r="L10" s="17">
        <v>12</v>
      </c>
      <c r="M10" s="4">
        <f>(L10*30*12)/1800</f>
        <v>2.4</v>
      </c>
    </row>
    <row r="11" spans="1:13" x14ac:dyDescent="0.3">
      <c r="A11" s="4" t="s">
        <v>22</v>
      </c>
      <c r="B11" s="4">
        <v>70</v>
      </c>
      <c r="C11" s="4">
        <f>ROUND(B11*0.1,0)</f>
        <v>7</v>
      </c>
      <c r="D11" s="4">
        <f>ROUND(B11*0.15,0)</f>
        <v>11</v>
      </c>
      <c r="E11" s="4">
        <f>B11-C11-D11-F11</f>
        <v>38</v>
      </c>
      <c r="F11" s="4">
        <f>ROUND(B11*0.2,0)</f>
        <v>14</v>
      </c>
      <c r="G11" s="4">
        <f>MAX(5,ROUND(B11*0.12,0))</f>
        <v>8</v>
      </c>
      <c r="H11" s="4">
        <f>G11*12</f>
        <v>96</v>
      </c>
      <c r="I11" s="4">
        <f>ROUND(B11/1600,2)</f>
        <v>0.04</v>
      </c>
      <c r="J11" s="16">
        <v>0.06</v>
      </c>
      <c r="L11" s="17">
        <v>12</v>
      </c>
      <c r="M11" s="4">
        <f>(L11*30*12)/1800</f>
        <v>2.4</v>
      </c>
    </row>
    <row r="12" spans="1:13" x14ac:dyDescent="0.3">
      <c r="A12" s="4" t="s">
        <v>79</v>
      </c>
      <c r="B12" s="4">
        <v>24</v>
      </c>
      <c r="C12" s="4">
        <f>ROUND(B12*0.15,0)</f>
        <v>4</v>
      </c>
      <c r="D12" s="4">
        <f>ROUND(B12*0.2,0)</f>
        <v>5</v>
      </c>
      <c r="E12" s="4">
        <f>B12-C12-D12-F12</f>
        <v>10</v>
      </c>
      <c r="F12" s="4">
        <f>ROUND(B12*0.2,0)</f>
        <v>5</v>
      </c>
      <c r="G12" s="4">
        <f>MAX(2,ROUND(B12*0.06,0))</f>
        <v>2</v>
      </c>
      <c r="H12" s="4">
        <f>G12*12</f>
        <v>24</v>
      </c>
      <c r="I12" s="4">
        <f>ROUND(B12/1600,2)</f>
        <v>0.02</v>
      </c>
      <c r="J12" s="16">
        <v>0.02</v>
      </c>
      <c r="L12" s="17">
        <v>6</v>
      </c>
      <c r="M12" s="4">
        <f>(L12*30*12)/1800</f>
        <v>1.2</v>
      </c>
    </row>
    <row r="13" spans="1:13" x14ac:dyDescent="0.3">
      <c r="A13" s="4" t="s">
        <v>238</v>
      </c>
      <c r="B13" s="4">
        <v>44</v>
      </c>
      <c r="C13" s="4">
        <f>ROUND(B13*0.1,0)</f>
        <v>4</v>
      </c>
      <c r="D13" s="4">
        <f>ROUND(B13*0.15,0)</f>
        <v>7</v>
      </c>
      <c r="E13" s="4">
        <f>B13-C13-D13-F13</f>
        <v>24</v>
      </c>
      <c r="F13" s="4">
        <f>ROUND(B13*0.2,0)</f>
        <v>9</v>
      </c>
      <c r="G13" s="4">
        <f>MAX(4,ROUND(B13*0.1,0))</f>
        <v>4</v>
      </c>
      <c r="H13" s="4">
        <f>G13*12</f>
        <v>48</v>
      </c>
      <c r="I13" s="4">
        <f>ROUND(B13/1600,2)</f>
        <v>0.03</v>
      </c>
      <c r="J13" s="16">
        <v>0.03</v>
      </c>
      <c r="L13" s="17">
        <v>2</v>
      </c>
      <c r="M13" s="4">
        <f>(L13*30*12)/1800</f>
        <v>0.4</v>
      </c>
    </row>
    <row r="14" spans="1:13" x14ac:dyDescent="0.3">
      <c r="A14" s="4" t="s">
        <v>140</v>
      </c>
      <c r="B14" s="4">
        <v>30</v>
      </c>
      <c r="C14" s="4">
        <f>ROUND(B14*0.1,0)</f>
        <v>3</v>
      </c>
      <c r="D14" s="4">
        <f>ROUND(B14*0.2,0)</f>
        <v>6</v>
      </c>
      <c r="E14" s="4">
        <f>B14-C14-D14-F14</f>
        <v>13</v>
      </c>
      <c r="F14" s="4">
        <f>ROUND(B14*0.25,0)</f>
        <v>8</v>
      </c>
      <c r="G14" s="4">
        <f>MAX(3,ROUND(B14*0.08,0))</f>
        <v>3</v>
      </c>
      <c r="H14" s="4">
        <f>G14*12</f>
        <v>36</v>
      </c>
      <c r="I14" s="4">
        <f>ROUND(B14/1600,2)</f>
        <v>0.02</v>
      </c>
      <c r="J14" s="16">
        <v>0.02</v>
      </c>
      <c r="L14" s="17">
        <v>12</v>
      </c>
      <c r="M14" s="4">
        <f>(L14*30*12)/1800</f>
        <v>2.4</v>
      </c>
    </row>
    <row r="15" spans="1:13" x14ac:dyDescent="0.3">
      <c r="A15" s="4" t="s">
        <v>141</v>
      </c>
      <c r="B15" s="4">
        <v>24</v>
      </c>
      <c r="C15" s="4">
        <f>ROUND(B15*0.15,0)</f>
        <v>4</v>
      </c>
      <c r="D15" s="4">
        <f>ROUND(B15*0.2,0)</f>
        <v>5</v>
      </c>
      <c r="E15" s="4">
        <f>B15-C15-D15-F15</f>
        <v>10</v>
      </c>
      <c r="F15" s="4">
        <f>ROUND(B15*0.2,0)</f>
        <v>5</v>
      </c>
      <c r="G15" s="4">
        <f>MAX(2,ROUND(B15*0.06,0))</f>
        <v>2</v>
      </c>
      <c r="H15" s="4">
        <f>G15*12</f>
        <v>24</v>
      </c>
      <c r="I15" s="4">
        <f>ROUND(B15/1600,2)</f>
        <v>0.02</v>
      </c>
      <c r="J15" s="16">
        <v>0.02</v>
      </c>
      <c r="L15" s="17">
        <v>4</v>
      </c>
      <c r="M15" s="4">
        <f>(L15*30*12)/1800</f>
        <v>0.8</v>
      </c>
    </row>
    <row r="16" spans="1:13" x14ac:dyDescent="0.3">
      <c r="A16" s="4" t="s">
        <v>25</v>
      </c>
      <c r="B16" s="4">
        <v>90</v>
      </c>
      <c r="C16" s="4">
        <f>ROUND(B16*0.1,0)</f>
        <v>9</v>
      </c>
      <c r="D16" s="4">
        <f>ROUND(B16*0.15,0)</f>
        <v>14</v>
      </c>
      <c r="E16" s="4">
        <f>B16-C16-D16-F16</f>
        <v>49</v>
      </c>
      <c r="F16" s="4">
        <f>ROUND(B16*0.2,0)</f>
        <v>18</v>
      </c>
      <c r="G16" s="4">
        <f>MAX(5,ROUND(B16*0.12,0))</f>
        <v>11</v>
      </c>
      <c r="H16" s="4">
        <f>G16*12</f>
        <v>132</v>
      </c>
      <c r="I16" s="4">
        <f>ROUND(B16/1600,2)</f>
        <v>0.06</v>
      </c>
      <c r="J16" s="16">
        <v>0.08</v>
      </c>
      <c r="L16" s="17">
        <v>4</v>
      </c>
      <c r="M16" s="4">
        <f>(L16*30*12)/1800</f>
        <v>0.8</v>
      </c>
    </row>
    <row r="17" spans="1:13" x14ac:dyDescent="0.3">
      <c r="A17" s="4" t="s">
        <v>68</v>
      </c>
      <c r="B17" s="4">
        <v>64</v>
      </c>
      <c r="C17" s="4">
        <f>ROUND(B17*0.1,0)</f>
        <v>6</v>
      </c>
      <c r="D17" s="4">
        <f>ROUND(B17*0.15,0)</f>
        <v>10</v>
      </c>
      <c r="E17" s="4">
        <f>B17-C17-D17-F17</f>
        <v>35</v>
      </c>
      <c r="F17" s="4">
        <f>ROUND(B17*0.2,0)</f>
        <v>13</v>
      </c>
      <c r="G17" s="4">
        <f>MAX(4,ROUND(B17*0.1,0))</f>
        <v>6</v>
      </c>
      <c r="H17" s="4">
        <f>G17*12</f>
        <v>72</v>
      </c>
      <c r="I17" s="4">
        <f>ROUND(B17/1600,2)</f>
        <v>0.04</v>
      </c>
      <c r="J17" s="16">
        <v>0.05</v>
      </c>
      <c r="L17" s="17">
        <v>4</v>
      </c>
      <c r="M17" s="4">
        <f>(L17*30*12)/1800</f>
        <v>0.8</v>
      </c>
    </row>
    <row r="18" spans="1:13" x14ac:dyDescent="0.3">
      <c r="A18" s="4" t="s">
        <v>69</v>
      </c>
      <c r="B18" s="4">
        <v>20</v>
      </c>
      <c r="C18" s="4">
        <f>ROUND(B18*0.15,0)</f>
        <v>3</v>
      </c>
      <c r="D18" s="4">
        <f>ROUND(B18*0.2,0)</f>
        <v>4</v>
      </c>
      <c r="E18" s="4">
        <f>B18-C18-D18-F18</f>
        <v>9</v>
      </c>
      <c r="F18" s="4">
        <f>ROUND(B18*0.2,0)</f>
        <v>4</v>
      </c>
      <c r="G18" s="4">
        <f>MAX(2,ROUND(B18*0.06,0))</f>
        <v>2</v>
      </c>
      <c r="H18" s="4">
        <f>G18*12</f>
        <v>24</v>
      </c>
      <c r="I18" s="4">
        <f>ROUND(B18/1600,2)</f>
        <v>0.01</v>
      </c>
      <c r="J18" s="16">
        <v>0.02</v>
      </c>
      <c r="L18" s="17">
        <v>2</v>
      </c>
      <c r="M18" s="4">
        <f>(L18*30*12)/1800</f>
        <v>0.4</v>
      </c>
    </row>
    <row r="19" spans="1:13" x14ac:dyDescent="0.3">
      <c r="A19" s="4" t="s">
        <v>70</v>
      </c>
      <c r="B19" s="4">
        <v>48</v>
      </c>
      <c r="C19" s="4">
        <f>ROUND(B19*0.1,0)</f>
        <v>5</v>
      </c>
      <c r="D19" s="4">
        <f>ROUND(B19*0.15,0)</f>
        <v>7</v>
      </c>
      <c r="E19" s="4">
        <f>B19-C19-D19-F19</f>
        <v>26</v>
      </c>
      <c r="F19" s="4">
        <f>ROUND(B19*0.2,0)</f>
        <v>10</v>
      </c>
      <c r="G19" s="4">
        <f>MAX(4,ROUND(B19*0.1,0))</f>
        <v>5</v>
      </c>
      <c r="H19" s="4">
        <f>G19*12</f>
        <v>60</v>
      </c>
      <c r="I19" s="4">
        <f>ROUND(B19/1600,2)</f>
        <v>0.03</v>
      </c>
      <c r="J19" s="16">
        <v>0.04</v>
      </c>
      <c r="L19" s="17">
        <v>0.5</v>
      </c>
      <c r="M19" s="4">
        <f>(L19*30*12)/1800</f>
        <v>0.1</v>
      </c>
    </row>
    <row r="20" spans="1:13" x14ac:dyDescent="0.3">
      <c r="A20" s="4" t="s">
        <v>80</v>
      </c>
      <c r="B20" s="4">
        <v>60</v>
      </c>
      <c r="C20" s="4">
        <f>ROUND(B20*0.1,0)</f>
        <v>6</v>
      </c>
      <c r="D20" s="4">
        <f>ROUND(B20*0.15,0)</f>
        <v>9</v>
      </c>
      <c r="E20" s="4">
        <f>B20-C20-D20-F20</f>
        <v>33</v>
      </c>
      <c r="F20" s="4">
        <f>ROUND(B20*0.2,0)</f>
        <v>12</v>
      </c>
      <c r="G20" s="4">
        <f>MAX(5,ROUND(B20*0.12,0))</f>
        <v>7</v>
      </c>
      <c r="H20" s="4">
        <f>G20*12</f>
        <v>84</v>
      </c>
      <c r="I20" s="4">
        <f>ROUND(B20/1600,2)</f>
        <v>0.04</v>
      </c>
      <c r="J20" s="16">
        <v>0.05</v>
      </c>
      <c r="L20" s="17">
        <v>4</v>
      </c>
      <c r="M20" s="4">
        <f>(L20*30*12)/1800</f>
        <v>0.8</v>
      </c>
    </row>
    <row r="21" spans="1:13" x14ac:dyDescent="0.3">
      <c r="A21" s="4" t="s">
        <v>24</v>
      </c>
      <c r="B21" s="4">
        <v>68</v>
      </c>
      <c r="C21" s="4">
        <f>ROUND(B21*0.1,0)</f>
        <v>7</v>
      </c>
      <c r="D21" s="4">
        <f>ROUND(B21*0.15,0)</f>
        <v>10</v>
      </c>
      <c r="E21" s="4">
        <f>B21-C21-D21-F21</f>
        <v>37</v>
      </c>
      <c r="F21" s="4">
        <f>ROUND(B21*0.2,0)</f>
        <v>14</v>
      </c>
      <c r="G21" s="4">
        <f>MAX(5,ROUND(B21*0.12,0))</f>
        <v>8</v>
      </c>
      <c r="H21" s="4">
        <f>G21*12</f>
        <v>96</v>
      </c>
      <c r="I21" s="4">
        <f>ROUND(B21/1600,2)</f>
        <v>0.04</v>
      </c>
      <c r="J21" s="16">
        <v>0.06</v>
      </c>
      <c r="L21" s="17">
        <v>2</v>
      </c>
      <c r="M21" s="4">
        <f>(L21*30*12)/1800</f>
        <v>0.4</v>
      </c>
    </row>
    <row r="22" spans="1:13" x14ac:dyDescent="0.3">
      <c r="A22" s="4" t="s">
        <v>92</v>
      </c>
      <c r="B22" s="4">
        <v>120</v>
      </c>
      <c r="C22" s="4">
        <f>ROUND(B22*0.08,0)</f>
        <v>10</v>
      </c>
      <c r="D22" s="4">
        <f>ROUND(B22*0.15,0)</f>
        <v>18</v>
      </c>
      <c r="E22" s="4">
        <f>B22-C22-D22-F22</f>
        <v>68</v>
      </c>
      <c r="F22" s="4">
        <f>ROUND(B22*0.2,0)</f>
        <v>24</v>
      </c>
      <c r="G22" s="4">
        <f>MAX(8,ROUND(B22*0.12,0))</f>
        <v>14</v>
      </c>
      <c r="H22" s="4">
        <f>G22*12</f>
        <v>168</v>
      </c>
      <c r="I22" s="4">
        <f>ROUND(B22/1600,2)</f>
        <v>0.08</v>
      </c>
      <c r="J22" s="16">
        <v>0.11</v>
      </c>
      <c r="L22" s="17">
        <v>4</v>
      </c>
      <c r="M22" s="4">
        <f>(L22*30*12)/1800</f>
        <v>0.8</v>
      </c>
    </row>
    <row r="23" spans="1:13" x14ac:dyDescent="0.3">
      <c r="A23" s="4" t="s">
        <v>242</v>
      </c>
      <c r="B23" s="4">
        <v>108</v>
      </c>
      <c r="C23" s="4">
        <v>10</v>
      </c>
      <c r="D23" s="4">
        <v>18</v>
      </c>
      <c r="E23" s="4">
        <f>B23-C23-D23-F23</f>
        <v>60</v>
      </c>
      <c r="F23" s="4">
        <v>20</v>
      </c>
      <c r="G23" s="4">
        <v>12</v>
      </c>
      <c r="H23" s="4">
        <f>G23*12</f>
        <v>144</v>
      </c>
      <c r="I23" s="4">
        <f>ROUND(B23/1600,2)</f>
        <v>0.07</v>
      </c>
      <c r="J23" s="16">
        <v>0.09</v>
      </c>
      <c r="L23" s="17">
        <v>8</v>
      </c>
      <c r="M23" s="4">
        <f>(L23*30*12)/1800</f>
        <v>1.6</v>
      </c>
    </row>
    <row r="24" spans="1:13" x14ac:dyDescent="0.3">
      <c r="A24" s="4" t="s">
        <v>243</v>
      </c>
      <c r="B24" s="4">
        <v>96</v>
      </c>
      <c r="C24" s="4">
        <v>9</v>
      </c>
      <c r="D24" s="4">
        <v>16</v>
      </c>
      <c r="E24" s="4">
        <f>B24-C24-D24-F24</f>
        <v>53</v>
      </c>
      <c r="F24" s="4">
        <v>18</v>
      </c>
      <c r="G24" s="4">
        <v>10</v>
      </c>
      <c r="H24" s="4">
        <f>G24*12</f>
        <v>120</v>
      </c>
      <c r="I24" s="4">
        <f>ROUND(B24/1600,2)</f>
        <v>0.06</v>
      </c>
      <c r="J24" s="16">
        <v>0.08</v>
      </c>
      <c r="L24" s="17">
        <v>4</v>
      </c>
      <c r="M24" s="4">
        <f>(L24*30*12)/1800</f>
        <v>0.8</v>
      </c>
    </row>
    <row r="25" spans="1:13" x14ac:dyDescent="0.3">
      <c r="A25" s="4" t="s">
        <v>212</v>
      </c>
      <c r="B25" s="4">
        <v>48</v>
      </c>
      <c r="C25" s="4">
        <f>ROUND(B25*0.15,0)</f>
        <v>7</v>
      </c>
      <c r="D25" s="4">
        <f>ROUND(B25*0.2,0)</f>
        <v>10</v>
      </c>
      <c r="E25" s="4">
        <f>B25-C25-D25-F25</f>
        <v>21</v>
      </c>
      <c r="F25" s="4">
        <f>ROUND(B25*0.2,0)</f>
        <v>10</v>
      </c>
      <c r="G25" s="4">
        <f>MAX(2,ROUND(B25*0.06,0))</f>
        <v>3</v>
      </c>
      <c r="H25" s="4">
        <f>G25*12</f>
        <v>36</v>
      </c>
      <c r="I25" s="4">
        <f>ROUND(B25/1600,2)</f>
        <v>0.03</v>
      </c>
      <c r="J25" s="16">
        <v>0.02</v>
      </c>
      <c r="L25" s="17"/>
      <c r="M25" s="4">
        <f>(L25*30*12)/1800</f>
        <v>0</v>
      </c>
    </row>
    <row r="26" spans="1:13" x14ac:dyDescent="0.3">
      <c r="A26" s="4" t="s">
        <v>216</v>
      </c>
      <c r="B26" s="4">
        <v>48</v>
      </c>
      <c r="C26" s="4">
        <f>ROUND(B26*0.15,0)</f>
        <v>7</v>
      </c>
      <c r="D26" s="4">
        <f>ROUND(B26*0.2,0)</f>
        <v>10</v>
      </c>
      <c r="E26" s="4">
        <f>B26-C26-D26-F26</f>
        <v>21</v>
      </c>
      <c r="F26" s="4">
        <f>ROUND(B26*0.2,0)</f>
        <v>10</v>
      </c>
      <c r="G26" s="4">
        <f>MAX(2,ROUND(B26*0.06,0))</f>
        <v>3</v>
      </c>
      <c r="H26" s="4">
        <f>G26*12</f>
        <v>36</v>
      </c>
      <c r="I26" s="4">
        <f>ROUND(B26/1600,2)</f>
        <v>0.03</v>
      </c>
      <c r="J26" s="16">
        <v>0.02</v>
      </c>
      <c r="L26" s="17"/>
      <c r="M26" s="4">
        <f>(L26*30*12)/1800</f>
        <v>0</v>
      </c>
    </row>
    <row r="27" spans="1:13" x14ac:dyDescent="0.3">
      <c r="A27" s="4" t="s">
        <v>219</v>
      </c>
      <c r="B27" s="4">
        <v>48</v>
      </c>
      <c r="C27" s="4">
        <f>ROUND(B27*0.15,0)</f>
        <v>7</v>
      </c>
      <c r="D27" s="4">
        <f>ROUND(B27*0.2,0)</f>
        <v>10</v>
      </c>
      <c r="E27" s="4">
        <f>B27-C27-D27-F27</f>
        <v>21</v>
      </c>
      <c r="F27" s="4">
        <f>ROUND(B27*0.2,0)</f>
        <v>10</v>
      </c>
      <c r="G27" s="4">
        <f>MAX(2,ROUND(B27*0.06,0))</f>
        <v>3</v>
      </c>
      <c r="H27" s="4">
        <f>G27*12</f>
        <v>36</v>
      </c>
      <c r="I27" s="4">
        <f>ROUND(B27/1600,2)</f>
        <v>0.03</v>
      </c>
      <c r="J27" s="16">
        <v>0.02</v>
      </c>
      <c r="L27" s="17"/>
      <c r="M27" s="4">
        <f>(L27*30*12)/1800</f>
        <v>0</v>
      </c>
    </row>
    <row r="28" spans="1:13" x14ac:dyDescent="0.3">
      <c r="A28" s="4" t="s">
        <v>222</v>
      </c>
      <c r="B28" s="4">
        <v>48</v>
      </c>
      <c r="C28" s="4">
        <f>ROUND(B28*0.15,0)</f>
        <v>7</v>
      </c>
      <c r="D28" s="4">
        <f>ROUND(B28*0.2,0)</f>
        <v>10</v>
      </c>
      <c r="E28" s="4">
        <f>B28-C28-D28-F28</f>
        <v>21</v>
      </c>
      <c r="F28" s="4">
        <f>ROUND(B28*0.2,0)</f>
        <v>10</v>
      </c>
      <c r="G28" s="4">
        <f>MAX(2,ROUND(B28*0.06,0))</f>
        <v>3</v>
      </c>
      <c r="H28" s="4">
        <f>G28*12</f>
        <v>36</v>
      </c>
      <c r="I28" s="4">
        <f>ROUND(B28/1600,2)</f>
        <v>0.03</v>
      </c>
      <c r="J28" s="16">
        <v>0.02</v>
      </c>
      <c r="L28" s="17"/>
      <c r="M28" s="4">
        <f>(L28*30*12)/1800</f>
        <v>0</v>
      </c>
    </row>
    <row r="29" spans="1:13" x14ac:dyDescent="0.3">
      <c r="A29" s="4" t="s">
        <v>276</v>
      </c>
      <c r="B29" s="4">
        <v>56</v>
      </c>
      <c r="C29" s="4">
        <f>ROUND(B29*0.1,0)</f>
        <v>6</v>
      </c>
      <c r="D29" s="4">
        <f>ROUND(B29*0.15,0)</f>
        <v>8</v>
      </c>
      <c r="E29" s="4">
        <f>B29-C29-D29-F29</f>
        <v>31</v>
      </c>
      <c r="F29" s="4">
        <f>ROUND(B29*0.2,0)</f>
        <v>11</v>
      </c>
      <c r="G29" s="4">
        <f>MAX(3,ROUND(B29*0.08,0))</f>
        <v>4</v>
      </c>
      <c r="H29" s="4">
        <f>G29*12</f>
        <v>48</v>
      </c>
      <c r="I29" s="4">
        <f>ROUND(B29/1600,2)</f>
        <v>0.04</v>
      </c>
      <c r="J29" s="16">
        <v>0.03</v>
      </c>
      <c r="L29" s="17">
        <v>8</v>
      </c>
      <c r="M29" s="4">
        <f>(L29*30*12)/1800</f>
        <v>1.6</v>
      </c>
    </row>
    <row r="30" spans="1:13" x14ac:dyDescent="0.3">
      <c r="A30" s="4" t="s">
        <v>285</v>
      </c>
      <c r="B30" s="4">
        <v>48</v>
      </c>
      <c r="C30" s="4">
        <f>ROUND(B30*0.15,0)</f>
        <v>7</v>
      </c>
      <c r="D30" s="4">
        <f>ROUND(B30*0.2,0)</f>
        <v>10</v>
      </c>
      <c r="E30" s="4">
        <f>B30-C30-D30-F30</f>
        <v>21</v>
      </c>
      <c r="F30" s="4">
        <f>ROUND(B30*0.2,0)</f>
        <v>10</v>
      </c>
      <c r="G30" s="4">
        <f>MAX(2,ROUND(B30*0.06,0))</f>
        <v>3</v>
      </c>
      <c r="H30" s="4">
        <f>G30*12</f>
        <v>36</v>
      </c>
      <c r="I30" s="4">
        <f>ROUND(B30/1600,2)</f>
        <v>0.03</v>
      </c>
      <c r="J30" s="16">
        <v>0.02</v>
      </c>
      <c r="L30" s="17"/>
      <c r="M30" s="4">
        <f>(L30*30*12)/1800</f>
        <v>0</v>
      </c>
    </row>
    <row r="31" spans="1:13" ht="15.6" x14ac:dyDescent="0.3">
      <c r="A31" s="6" t="s">
        <v>292</v>
      </c>
      <c r="B31" s="6">
        <f>SUM(B5:B30)</f>
        <v>1479</v>
      </c>
      <c r="C31" s="6">
        <f>SUM(C5:C30)</f>
        <v>164</v>
      </c>
      <c r="D31" s="6">
        <f>SUM(D5:D30)</f>
        <v>249</v>
      </c>
      <c r="E31" s="6">
        <f>SUM(E5:E30)</f>
        <v>768</v>
      </c>
      <c r="F31" s="6">
        <f>SUM(F5:F30)</f>
        <v>298</v>
      </c>
      <c r="G31" s="6">
        <f>SUM(G5:G30)</f>
        <v>145</v>
      </c>
      <c r="H31" s="6">
        <f>SUM(H5:H30)</f>
        <v>1740</v>
      </c>
      <c r="I31" s="18">
        <f>ROUND(B31/1600,2)</f>
        <v>0.92</v>
      </c>
      <c r="J31" s="13">
        <f>ROUND(H31/1600,2)</f>
        <v>1.09</v>
      </c>
      <c r="K31" s="14"/>
      <c r="L31" s="15">
        <f>SUM(L5:L30)</f>
        <v>116.5</v>
      </c>
      <c r="M31" s="19">
        <f>SUM(M5:M30)</f>
        <v>23.3</v>
      </c>
    </row>
  </sheetData>
  <autoFilter ref="A4:M29" xr:uid="{00000000-0009-0000-0000-000002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325f1c-c123-4dbe-9123-08fe6a6a3480">
      <Terms xmlns="http://schemas.microsoft.com/office/infopath/2007/PartnerControls"/>
    </lcf76f155ced4ddcb4097134ff3c332f>
    <TaxCatchAll xmlns="35e09d27-21f5-4f7b-ad9d-1dd5ed13dad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CC63A435114F4E9CA91222B085FBFE" ma:contentTypeVersion="16" ma:contentTypeDescription="Create a new document." ma:contentTypeScope="" ma:versionID="6d29001a50c4829fd0e6617e8815ccb4">
  <xsd:schema xmlns:xsd="http://www.w3.org/2001/XMLSchema" xmlns:xs="http://www.w3.org/2001/XMLSchema" xmlns:p="http://schemas.microsoft.com/office/2006/metadata/properties" xmlns:ns2="ce325f1c-c123-4dbe-9123-08fe6a6a3480" xmlns:ns3="35e09d27-21f5-4f7b-ad9d-1dd5ed13dad1" targetNamespace="http://schemas.microsoft.com/office/2006/metadata/properties" ma:root="true" ma:fieldsID="5fc26e21291b358b1b76223eadd7b6ce" ns2:_="" ns3:_="">
    <xsd:import namespace="ce325f1c-c123-4dbe-9123-08fe6a6a3480"/>
    <xsd:import namespace="35e09d27-21f5-4f7b-ad9d-1dd5ed13da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25f1c-c123-4dbe-9123-08fe6a6a3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4eb55d6-dc06-44ab-a01f-d508de68a2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e09d27-21f5-4f7b-ad9d-1dd5ed13dad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2c3216f-4e7b-49f1-82c0-50d46aafa316}" ma:internalName="TaxCatchAll" ma:showField="CatchAllData" ma:web="35e09d27-21f5-4f7b-ad9d-1dd5ed13da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611685-FF01-4D39-8CE2-9341F7876C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6844FE-4D5D-4703-870D-16D9D5F40A3E}">
  <ds:schemaRefs>
    <ds:schemaRef ds:uri="http://schemas.microsoft.com/office/2006/metadata/properties"/>
    <ds:schemaRef ds:uri="http://schemas.microsoft.com/office/infopath/2007/PartnerControls"/>
    <ds:schemaRef ds:uri="ce325f1c-c123-4dbe-9123-08fe6a6a3480"/>
    <ds:schemaRef ds:uri="35e09d27-21f5-4f7b-ad9d-1dd5ed13dad1"/>
  </ds:schemaRefs>
</ds:datastoreItem>
</file>

<file path=customXml/itemProps3.xml><?xml version="1.0" encoding="utf-8"?>
<ds:datastoreItem xmlns:ds="http://schemas.openxmlformats.org/officeDocument/2006/customXml" ds:itemID="{10490289-A43D-4857-9BFC-81BBC1D5E2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25f1c-c123-4dbe-9123-08fe6a6a3480"/>
    <ds:schemaRef ds:uri="35e09d27-21f5-4f7b-ad9d-1dd5ed13d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Tools</vt:lpstr>
      <vt:lpstr>Defenitions</vt:lpstr>
      <vt:lpstr>FTE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Yaara Shvadron</dc:creator>
  <cp:lastModifiedBy>Yaara Shvadron</cp:lastModifiedBy>
  <dcterms:created xsi:type="dcterms:W3CDTF">2015-06-05T18:17:20Z</dcterms:created>
  <dcterms:modified xsi:type="dcterms:W3CDTF">2026-04-30T20:35:03Z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0x0101008ACC63A435114F4E9CA91222B085FBFE</vt:lpwstr>
  </property>
  <property fmtid="{D5CDD505-2E9C-101B-9397-08002B2CF9AE}" pid="3" name="MediaServiceImageTags">
    <vt:lpwstr/>
  </property>
</Properties>
</file>